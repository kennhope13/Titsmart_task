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xr:revisionPtr revIDLastSave="0" documentId="11_2375F361719B671197573CB409C16233982929BE" xr6:coauthVersionLast="47" xr6:coauthVersionMax="47" xr10:uidLastSave="{00000000-0000-0000-0000-000000000000}"/>
  <bookViews>
    <workbookView minimized="1" xWindow="2460" yWindow="2460" windowWidth="21600" windowHeight="11295" xr2:uid="{00000000-000D-0000-FFFF-FFFF00000000}"/>
  </bookViews>
  <sheets>
    <sheet name="Scada_TTLL" sheetId="1" r:id="rId1"/>
    <sheet name="Thông số kỹ thuật" sheetId="2" r:id="rId2"/>
  </sheets>
  <definedNames>
    <definedName name="_xlnm.Print_Area" localSheetId="0">Scada_TTLL!$A$1:$J$152</definedName>
    <definedName name="_xlnm.Print_Area" localSheetId="1">'Thông số kỹ thuật'!$A$1:$E$427</definedName>
    <definedName name="_xlnm.Print_Titles" localSheetId="0">Scada_TTLL!$5:$6</definedName>
    <definedName name="_xlnm.Print_Titles" localSheetId="1">'Thông số kỹ thuật'!$6:$7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9" i="2" l="1"/>
  <c r="A210" i="2" s="1"/>
  <c r="A211" i="2" s="1"/>
  <c r="A212" i="2" s="1"/>
  <c r="A213" i="2" s="1"/>
  <c r="A214" i="2" s="1"/>
  <c r="A215" i="2" s="1"/>
  <c r="A200" i="2"/>
  <c r="A201" i="2" s="1"/>
  <c r="A202" i="2" s="1"/>
  <c r="A203" i="2" s="1"/>
  <c r="A204" i="2" s="1"/>
  <c r="A205" i="2" s="1"/>
  <c r="A206" i="2" s="1"/>
  <c r="E42" i="1" l="1"/>
  <c r="E64" i="1"/>
  <c r="E81" i="1"/>
  <c r="E83" i="1"/>
  <c r="E89" i="1"/>
  <c r="E91" i="1"/>
  <c r="E105" i="1"/>
  <c r="E107" i="1"/>
  <c r="E113" i="1"/>
  <c r="E145" i="1"/>
  <c r="K9" i="1"/>
  <c r="E9" i="1" s="1"/>
  <c r="K10" i="1"/>
  <c r="E10" i="1" s="1"/>
  <c r="K11" i="1"/>
  <c r="E11" i="1" s="1"/>
  <c r="K12" i="1"/>
  <c r="E12" i="1" s="1"/>
  <c r="K13" i="1"/>
  <c r="E13" i="1" s="1"/>
  <c r="K14" i="1"/>
  <c r="E14" i="1" s="1"/>
  <c r="K15" i="1"/>
  <c r="E15" i="1" s="1"/>
  <c r="K16" i="1"/>
  <c r="E16" i="1" s="1"/>
  <c r="K17" i="1"/>
  <c r="E17" i="1" s="1"/>
  <c r="K18" i="1"/>
  <c r="E18" i="1" s="1"/>
  <c r="K19" i="1"/>
  <c r="E19" i="1" s="1"/>
  <c r="K20" i="1"/>
  <c r="E20" i="1" s="1"/>
  <c r="K21" i="1"/>
  <c r="E21" i="1" s="1"/>
  <c r="K22" i="1"/>
  <c r="E22" i="1" s="1"/>
  <c r="K23" i="1"/>
  <c r="E23" i="1" s="1"/>
  <c r="K24" i="1"/>
  <c r="E24" i="1" s="1"/>
  <c r="K25" i="1"/>
  <c r="E25" i="1" s="1"/>
  <c r="K26" i="1"/>
  <c r="E26" i="1" s="1"/>
  <c r="K27" i="1"/>
  <c r="E27" i="1" s="1"/>
  <c r="K28" i="1"/>
  <c r="E28" i="1" s="1"/>
  <c r="K29" i="1"/>
  <c r="E29" i="1" s="1"/>
  <c r="K30" i="1"/>
  <c r="E30" i="1" s="1"/>
  <c r="K31" i="1"/>
  <c r="E31" i="1" s="1"/>
  <c r="K32" i="1"/>
  <c r="E32" i="1" s="1"/>
  <c r="K33" i="1"/>
  <c r="E33" i="1" s="1"/>
  <c r="K34" i="1"/>
  <c r="E34" i="1" s="1"/>
  <c r="K35" i="1"/>
  <c r="E35" i="1" s="1"/>
  <c r="K36" i="1"/>
  <c r="E36" i="1" s="1"/>
  <c r="K37" i="1"/>
  <c r="K38" i="1"/>
  <c r="K39" i="1"/>
  <c r="E39" i="1" s="1"/>
  <c r="K40" i="1"/>
  <c r="E40" i="1" s="1"/>
  <c r="K41" i="1"/>
  <c r="E41" i="1" s="1"/>
  <c r="K42" i="1"/>
  <c r="K43" i="1"/>
  <c r="E43" i="1" s="1"/>
  <c r="K44" i="1"/>
  <c r="E44" i="1" s="1"/>
  <c r="K45" i="1"/>
  <c r="E45" i="1" s="1"/>
  <c r="K46" i="1"/>
  <c r="E46" i="1" s="1"/>
  <c r="K47" i="1"/>
  <c r="E47" i="1" s="1"/>
  <c r="K48" i="1"/>
  <c r="E48" i="1" s="1"/>
  <c r="K49" i="1"/>
  <c r="E49" i="1" s="1"/>
  <c r="K50" i="1"/>
  <c r="E50" i="1" s="1"/>
  <c r="K51" i="1"/>
  <c r="E51" i="1" s="1"/>
  <c r="K52" i="1"/>
  <c r="E52" i="1" s="1"/>
  <c r="K53" i="1"/>
  <c r="E53" i="1" s="1"/>
  <c r="K54" i="1"/>
  <c r="E54" i="1" s="1"/>
  <c r="K55" i="1"/>
  <c r="E55" i="1" s="1"/>
  <c r="K56" i="1"/>
  <c r="E56" i="1" s="1"/>
  <c r="K57" i="1"/>
  <c r="E57" i="1" s="1"/>
  <c r="K58" i="1"/>
  <c r="E58" i="1" s="1"/>
  <c r="K59" i="1"/>
  <c r="E59" i="1" s="1"/>
  <c r="K60" i="1"/>
  <c r="E60" i="1" s="1"/>
  <c r="K61" i="1"/>
  <c r="E61" i="1" s="1"/>
  <c r="K62" i="1"/>
  <c r="E62" i="1" s="1"/>
  <c r="K63" i="1"/>
  <c r="E63" i="1" s="1"/>
  <c r="K64" i="1"/>
  <c r="K65" i="1"/>
  <c r="E65" i="1" s="1"/>
  <c r="K66" i="1"/>
  <c r="E66" i="1" s="1"/>
  <c r="K67" i="1"/>
  <c r="E67" i="1" s="1"/>
  <c r="K68" i="1"/>
  <c r="E68" i="1" s="1"/>
  <c r="K69" i="1"/>
  <c r="E69" i="1" s="1"/>
  <c r="K70" i="1"/>
  <c r="E70" i="1" s="1"/>
  <c r="K71" i="1"/>
  <c r="E71" i="1" s="1"/>
  <c r="K72" i="1"/>
  <c r="K73" i="1"/>
  <c r="E73" i="1" s="1"/>
  <c r="K74" i="1"/>
  <c r="E74" i="1" s="1"/>
  <c r="K75" i="1"/>
  <c r="E75" i="1" s="1"/>
  <c r="K76" i="1"/>
  <c r="E76" i="1" s="1"/>
  <c r="K77" i="1"/>
  <c r="E77" i="1" s="1"/>
  <c r="K78" i="1"/>
  <c r="E78" i="1" s="1"/>
  <c r="K79" i="1"/>
  <c r="E79" i="1" s="1"/>
  <c r="K80" i="1"/>
  <c r="E80" i="1" s="1"/>
  <c r="K81" i="1"/>
  <c r="K82" i="1"/>
  <c r="E82" i="1" s="1"/>
  <c r="K83" i="1"/>
  <c r="K84" i="1"/>
  <c r="E84" i="1" s="1"/>
  <c r="K85" i="1"/>
  <c r="E85" i="1" s="1"/>
  <c r="K86" i="1"/>
  <c r="E86" i="1" s="1"/>
  <c r="K87" i="1"/>
  <c r="E87" i="1" s="1"/>
  <c r="K88" i="1"/>
  <c r="E88" i="1" s="1"/>
  <c r="K89" i="1"/>
  <c r="K90" i="1"/>
  <c r="E90" i="1" s="1"/>
  <c r="K91" i="1"/>
  <c r="K92" i="1"/>
  <c r="E92" i="1" s="1"/>
  <c r="K93" i="1"/>
  <c r="E93" i="1" s="1"/>
  <c r="K94" i="1"/>
  <c r="E94" i="1" s="1"/>
  <c r="K95" i="1"/>
  <c r="E95" i="1" s="1"/>
  <c r="K96" i="1"/>
  <c r="E96" i="1" s="1"/>
  <c r="K97" i="1"/>
  <c r="E97" i="1" s="1"/>
  <c r="K98" i="1"/>
  <c r="E98" i="1" s="1"/>
  <c r="K99" i="1"/>
  <c r="E99" i="1" s="1"/>
  <c r="K100" i="1"/>
  <c r="E100" i="1" s="1"/>
  <c r="K101" i="1"/>
  <c r="E101" i="1" s="1"/>
  <c r="K102" i="1"/>
  <c r="E102" i="1" s="1"/>
  <c r="K103" i="1"/>
  <c r="E103" i="1" s="1"/>
  <c r="K104" i="1"/>
  <c r="E104" i="1" s="1"/>
  <c r="K105" i="1"/>
  <c r="K106" i="1"/>
  <c r="E106" i="1" s="1"/>
  <c r="K107" i="1"/>
  <c r="K108" i="1"/>
  <c r="E108" i="1" s="1"/>
  <c r="K109" i="1"/>
  <c r="E109" i="1" s="1"/>
  <c r="K110" i="1"/>
  <c r="E110" i="1" s="1"/>
  <c r="K111" i="1"/>
  <c r="E111" i="1" s="1"/>
  <c r="K112" i="1"/>
  <c r="E112" i="1" s="1"/>
  <c r="K113" i="1"/>
  <c r="K114" i="1"/>
  <c r="E114" i="1" s="1"/>
  <c r="K115" i="1"/>
  <c r="E115" i="1" s="1"/>
  <c r="K116" i="1"/>
  <c r="E116" i="1" s="1"/>
  <c r="K117" i="1"/>
  <c r="E117" i="1" s="1"/>
  <c r="K118" i="1"/>
  <c r="E118" i="1" s="1"/>
  <c r="K119" i="1"/>
  <c r="E119" i="1" s="1"/>
  <c r="K120" i="1"/>
  <c r="E120" i="1" s="1"/>
  <c r="K121" i="1"/>
  <c r="E121" i="1" s="1"/>
  <c r="K122" i="1"/>
  <c r="E122" i="1" s="1"/>
  <c r="K123" i="1"/>
  <c r="E123" i="1" s="1"/>
  <c r="K124" i="1"/>
  <c r="E124" i="1" s="1"/>
  <c r="K125" i="1"/>
  <c r="E125" i="1" s="1"/>
  <c r="K126" i="1"/>
  <c r="E126" i="1" s="1"/>
  <c r="K127" i="1"/>
  <c r="E127" i="1" s="1"/>
  <c r="K128" i="1"/>
  <c r="E128" i="1" s="1"/>
  <c r="K129" i="1"/>
  <c r="E129" i="1" s="1"/>
  <c r="K130" i="1"/>
  <c r="E130" i="1" s="1"/>
  <c r="K131" i="1"/>
  <c r="E131" i="1" s="1"/>
  <c r="K132" i="1"/>
  <c r="E132" i="1" s="1"/>
  <c r="K133" i="1"/>
  <c r="E133" i="1" s="1"/>
  <c r="K134" i="1"/>
  <c r="E134" i="1" s="1"/>
  <c r="K135" i="1"/>
  <c r="E135" i="1" s="1"/>
  <c r="K136" i="1"/>
  <c r="E136" i="1" s="1"/>
  <c r="K137" i="1"/>
  <c r="E137" i="1" s="1"/>
  <c r="K138" i="1"/>
  <c r="E138" i="1" s="1"/>
  <c r="K139" i="1"/>
  <c r="E139" i="1" s="1"/>
  <c r="K140" i="1"/>
  <c r="E140" i="1" s="1"/>
  <c r="K141" i="1"/>
  <c r="E141" i="1" s="1"/>
  <c r="K142" i="1"/>
  <c r="E142" i="1" s="1"/>
  <c r="K143" i="1"/>
  <c r="E143" i="1" s="1"/>
  <c r="K144" i="1"/>
  <c r="E144" i="1" s="1"/>
  <c r="K145" i="1"/>
  <c r="K146" i="1"/>
  <c r="E146" i="1" s="1"/>
  <c r="K147" i="1"/>
  <c r="E147" i="1" s="1"/>
  <c r="K148" i="1"/>
  <c r="E148" i="1" s="1"/>
  <c r="K8" i="1"/>
  <c r="E8" i="1" s="1"/>
  <c r="H35" i="1" l="1"/>
  <c r="I35" i="1" s="1"/>
  <c r="H63" i="1"/>
  <c r="H80" i="1"/>
  <c r="I80" i="1" s="1"/>
  <c r="H98" i="1"/>
  <c r="H105" i="1"/>
  <c r="I105" i="1" s="1"/>
  <c r="H107" i="1"/>
  <c r="H122" i="1"/>
  <c r="I122" i="1" s="1"/>
  <c r="F9" i="1"/>
  <c r="F10" i="1"/>
  <c r="H10" i="1" s="1"/>
  <c r="I10" i="1" s="1"/>
  <c r="F11" i="1"/>
  <c r="H11" i="1" s="1"/>
  <c r="I11" i="1" s="1"/>
  <c r="F13" i="1"/>
  <c r="H13" i="1" s="1"/>
  <c r="F14" i="1"/>
  <c r="H14" i="1" s="1"/>
  <c r="I14" i="1" s="1"/>
  <c r="F15" i="1"/>
  <c r="F16" i="1"/>
  <c r="H16" i="1" s="1"/>
  <c r="F17" i="1"/>
  <c r="H17" i="1" s="1"/>
  <c r="F18" i="1"/>
  <c r="H18" i="1" s="1"/>
  <c r="F19" i="1"/>
  <c r="H19" i="1" s="1"/>
  <c r="I19" i="1" s="1"/>
  <c r="F20" i="1"/>
  <c r="H20" i="1" s="1"/>
  <c r="I20" i="1" s="1"/>
  <c r="F21" i="1"/>
  <c r="H21" i="1" s="1"/>
  <c r="F22" i="1"/>
  <c r="H22" i="1" s="1"/>
  <c r="I22" i="1" s="1"/>
  <c r="F23" i="1"/>
  <c r="F24" i="1"/>
  <c r="F25" i="1"/>
  <c r="F26" i="1"/>
  <c r="F27" i="1"/>
  <c r="H27" i="1" s="1"/>
  <c r="I27" i="1" s="1"/>
  <c r="F28" i="1"/>
  <c r="H28" i="1" s="1"/>
  <c r="I28" i="1" s="1"/>
  <c r="F29" i="1"/>
  <c r="H29" i="1" s="1"/>
  <c r="F30" i="1"/>
  <c r="H30" i="1" s="1"/>
  <c r="I30" i="1" s="1"/>
  <c r="F31" i="1"/>
  <c r="F32" i="1"/>
  <c r="H32" i="1" s="1"/>
  <c r="F33" i="1"/>
  <c r="F34" i="1"/>
  <c r="F35" i="1"/>
  <c r="F36" i="1"/>
  <c r="H36" i="1" s="1"/>
  <c r="I36" i="1" s="1"/>
  <c r="F37" i="1"/>
  <c r="H37" i="1" s="1"/>
  <c r="F38" i="1"/>
  <c r="H38" i="1" s="1"/>
  <c r="I38" i="1" s="1"/>
  <c r="F39" i="1"/>
  <c r="F41" i="1"/>
  <c r="F42" i="1"/>
  <c r="F43" i="1"/>
  <c r="F44" i="1"/>
  <c r="H44" i="1" s="1"/>
  <c r="I44" i="1" s="1"/>
  <c r="F45" i="1"/>
  <c r="H45" i="1" s="1"/>
  <c r="I45" i="1" s="1"/>
  <c r="F46" i="1"/>
  <c r="F47" i="1"/>
  <c r="H47" i="1" s="1"/>
  <c r="I47" i="1" s="1"/>
  <c r="F48" i="1"/>
  <c r="F49" i="1"/>
  <c r="H49" i="1" s="1"/>
  <c r="F50" i="1"/>
  <c r="F51" i="1"/>
  <c r="F52" i="1"/>
  <c r="H52" i="1" s="1"/>
  <c r="I52" i="1" s="1"/>
  <c r="F53" i="1"/>
  <c r="H53" i="1" s="1"/>
  <c r="I53" i="1" s="1"/>
  <c r="F55" i="1"/>
  <c r="F56" i="1"/>
  <c r="H56" i="1" s="1"/>
  <c r="I56" i="1" s="1"/>
  <c r="F57" i="1"/>
  <c r="F58" i="1"/>
  <c r="F59" i="1"/>
  <c r="F60" i="1"/>
  <c r="F61" i="1"/>
  <c r="H61" i="1" s="1"/>
  <c r="I61" i="1" s="1"/>
  <c r="F62" i="1"/>
  <c r="H62" i="1" s="1"/>
  <c r="I62" i="1" s="1"/>
  <c r="F63" i="1"/>
  <c r="F64" i="1"/>
  <c r="H64" i="1" s="1"/>
  <c r="I64" i="1" s="1"/>
  <c r="F66" i="1"/>
  <c r="F67" i="1"/>
  <c r="H67" i="1" s="1"/>
  <c r="F68" i="1"/>
  <c r="F69" i="1"/>
  <c r="F70" i="1"/>
  <c r="H70" i="1" s="1"/>
  <c r="I70" i="1" s="1"/>
  <c r="F71" i="1"/>
  <c r="H71" i="1" s="1"/>
  <c r="I71" i="1" s="1"/>
  <c r="F73" i="1"/>
  <c r="H73" i="1" s="1"/>
  <c r="F74" i="1"/>
  <c r="H74" i="1" s="1"/>
  <c r="I74" i="1" s="1"/>
  <c r="F75" i="1"/>
  <c r="F76" i="1"/>
  <c r="F77" i="1"/>
  <c r="F79" i="1"/>
  <c r="F80" i="1"/>
  <c r="F81" i="1"/>
  <c r="H81" i="1" s="1"/>
  <c r="I81" i="1" s="1"/>
  <c r="F82" i="1"/>
  <c r="F83" i="1"/>
  <c r="H83" i="1" s="1"/>
  <c r="I83" i="1" s="1"/>
  <c r="F84" i="1"/>
  <c r="F85" i="1"/>
  <c r="H85" i="1" s="1"/>
  <c r="F86" i="1"/>
  <c r="F87" i="1"/>
  <c r="F88" i="1"/>
  <c r="H88" i="1" s="1"/>
  <c r="I88" i="1" s="1"/>
  <c r="F89" i="1"/>
  <c r="H89" i="1" s="1"/>
  <c r="I89" i="1" s="1"/>
  <c r="F90" i="1"/>
  <c r="F91" i="1"/>
  <c r="H91" i="1" s="1"/>
  <c r="I91" i="1" s="1"/>
  <c r="F92" i="1"/>
  <c r="F93" i="1"/>
  <c r="F94" i="1"/>
  <c r="F95" i="1"/>
  <c r="F96" i="1"/>
  <c r="H96" i="1" s="1"/>
  <c r="I96" i="1" s="1"/>
  <c r="F97" i="1"/>
  <c r="H97" i="1" s="1"/>
  <c r="I97" i="1" s="1"/>
  <c r="F98" i="1"/>
  <c r="F99" i="1"/>
  <c r="H99" i="1" s="1"/>
  <c r="I99" i="1" s="1"/>
  <c r="F100" i="1"/>
  <c r="F101" i="1"/>
  <c r="H101" i="1" s="1"/>
  <c r="F102" i="1"/>
  <c r="F103" i="1"/>
  <c r="F105" i="1"/>
  <c r="F106" i="1"/>
  <c r="H106" i="1" s="1"/>
  <c r="I106" i="1" s="1"/>
  <c r="F107" i="1"/>
  <c r="F108" i="1"/>
  <c r="H108" i="1" s="1"/>
  <c r="I108" i="1" s="1"/>
  <c r="F109" i="1"/>
  <c r="F110" i="1"/>
  <c r="F111" i="1"/>
  <c r="F112" i="1"/>
  <c r="F113" i="1"/>
  <c r="H113" i="1" s="1"/>
  <c r="I113" i="1" s="1"/>
  <c r="F114" i="1"/>
  <c r="H114" i="1" s="1"/>
  <c r="I114" i="1" s="1"/>
  <c r="F115" i="1"/>
  <c r="F116" i="1"/>
  <c r="H116" i="1" s="1"/>
  <c r="I116" i="1" s="1"/>
  <c r="F117" i="1"/>
  <c r="F119" i="1"/>
  <c r="H119" i="1" s="1"/>
  <c r="F120" i="1"/>
  <c r="F121" i="1"/>
  <c r="F122" i="1"/>
  <c r="F123" i="1"/>
  <c r="H123" i="1" s="1"/>
  <c r="I123" i="1" s="1"/>
  <c r="F124" i="1"/>
  <c r="F125" i="1"/>
  <c r="H125" i="1" s="1"/>
  <c r="I125" i="1" s="1"/>
  <c r="F127" i="1"/>
  <c r="F128" i="1"/>
  <c r="F129" i="1"/>
  <c r="F130" i="1"/>
  <c r="F131" i="1"/>
  <c r="H131" i="1" s="1"/>
  <c r="I131" i="1" s="1"/>
  <c r="F132" i="1"/>
  <c r="H132" i="1" s="1"/>
  <c r="I132" i="1" s="1"/>
  <c r="F133" i="1"/>
  <c r="H133" i="1" s="1"/>
  <c r="F134" i="1"/>
  <c r="H134" i="1" s="1"/>
  <c r="I134" i="1" s="1"/>
  <c r="F135" i="1"/>
  <c r="F137" i="1"/>
  <c r="H137" i="1" s="1"/>
  <c r="F138" i="1"/>
  <c r="F139" i="1"/>
  <c r="F140" i="1"/>
  <c r="H140" i="1" s="1"/>
  <c r="I140" i="1" s="1"/>
  <c r="F142" i="1"/>
  <c r="H142" i="1" s="1"/>
  <c r="I142" i="1" s="1"/>
  <c r="F143" i="1"/>
  <c r="H143" i="1" s="1"/>
  <c r="F144" i="1"/>
  <c r="H144" i="1" s="1"/>
  <c r="I144" i="1" s="1"/>
  <c r="F145" i="1"/>
  <c r="F146" i="1"/>
  <c r="F147" i="1"/>
  <c r="F148" i="1"/>
  <c r="I143" i="1" l="1"/>
  <c r="I133" i="1"/>
  <c r="I107" i="1"/>
  <c r="I98" i="1"/>
  <c r="I73" i="1"/>
  <c r="I63" i="1"/>
  <c r="I29" i="1"/>
  <c r="I21" i="1"/>
  <c r="I13" i="1"/>
  <c r="H124" i="1"/>
  <c r="I124" i="1" s="1"/>
  <c r="H90" i="1"/>
  <c r="I90" i="1" s="1"/>
  <c r="H55" i="1"/>
  <c r="I55" i="1" s="1"/>
  <c r="H115" i="1"/>
  <c r="I115" i="1" s="1"/>
  <c r="H82" i="1"/>
  <c r="I82" i="1" s="1"/>
  <c r="H46" i="1"/>
  <c r="I46" i="1" s="1"/>
  <c r="I37" i="1"/>
  <c r="I147" i="1"/>
  <c r="H148" i="1"/>
  <c r="I148" i="1" s="1"/>
  <c r="H130" i="1"/>
  <c r="I130" i="1" s="1"/>
  <c r="H112" i="1"/>
  <c r="I112" i="1" s="1"/>
  <c r="H95" i="1"/>
  <c r="I95" i="1" s="1"/>
  <c r="H79" i="1"/>
  <c r="I79" i="1" s="1"/>
  <c r="H60" i="1"/>
  <c r="I60" i="1" s="1"/>
  <c r="H43" i="1"/>
  <c r="I43" i="1" s="1"/>
  <c r="H26" i="1"/>
  <c r="I26" i="1" s="1"/>
  <c r="H147" i="1"/>
  <c r="H129" i="1"/>
  <c r="I129" i="1" s="1"/>
  <c r="H111" i="1"/>
  <c r="I111" i="1" s="1"/>
  <c r="H94" i="1"/>
  <c r="I94" i="1" s="1"/>
  <c r="H77" i="1"/>
  <c r="I77" i="1" s="1"/>
  <c r="H59" i="1"/>
  <c r="I59" i="1" s="1"/>
  <c r="H42" i="1"/>
  <c r="I42" i="1" s="1"/>
  <c r="H25" i="1"/>
  <c r="I25" i="1" s="1"/>
  <c r="I18" i="1"/>
  <c r="H146" i="1"/>
  <c r="I146" i="1" s="1"/>
  <c r="H128" i="1"/>
  <c r="I128" i="1" s="1"/>
  <c r="H110" i="1"/>
  <c r="I110" i="1" s="1"/>
  <c r="H93" i="1"/>
  <c r="I93" i="1" s="1"/>
  <c r="H76" i="1"/>
  <c r="I76" i="1" s="1"/>
  <c r="H58" i="1"/>
  <c r="I58" i="1" s="1"/>
  <c r="H41" i="1"/>
  <c r="I41" i="1" s="1"/>
  <c r="H24" i="1"/>
  <c r="I24" i="1" s="1"/>
  <c r="I17" i="1"/>
  <c r="H145" i="1"/>
  <c r="I145" i="1" s="1"/>
  <c r="H135" i="1"/>
  <c r="I135" i="1" s="1"/>
  <c r="H127" i="1"/>
  <c r="I127" i="1" s="1"/>
  <c r="H117" i="1"/>
  <c r="I117" i="1" s="1"/>
  <c r="H109" i="1"/>
  <c r="I109" i="1" s="1"/>
  <c r="H100" i="1"/>
  <c r="I100" i="1" s="1"/>
  <c r="H92" i="1"/>
  <c r="I92" i="1" s="1"/>
  <c r="H84" i="1"/>
  <c r="I84" i="1" s="1"/>
  <c r="H75" i="1"/>
  <c r="I75" i="1" s="1"/>
  <c r="H66" i="1"/>
  <c r="I66" i="1" s="1"/>
  <c r="H57" i="1"/>
  <c r="I57" i="1" s="1"/>
  <c r="H48" i="1"/>
  <c r="I48" i="1" s="1"/>
  <c r="H39" i="1"/>
  <c r="I39" i="1" s="1"/>
  <c r="H31" i="1"/>
  <c r="I31" i="1" s="1"/>
  <c r="H23" i="1"/>
  <c r="I23" i="1" s="1"/>
  <c r="H15" i="1"/>
  <c r="I15" i="1" s="1"/>
  <c r="I137" i="1"/>
  <c r="I119" i="1"/>
  <c r="I101" i="1"/>
  <c r="I85" i="1"/>
  <c r="I67" i="1"/>
  <c r="I49" i="1"/>
  <c r="I32" i="1"/>
  <c r="I16" i="1"/>
  <c r="H139" i="1"/>
  <c r="I139" i="1" s="1"/>
  <c r="H121" i="1"/>
  <c r="I121" i="1" s="1"/>
  <c r="H103" i="1"/>
  <c r="I103" i="1" s="1"/>
  <c r="H87" i="1"/>
  <c r="I87" i="1" s="1"/>
  <c r="H69" i="1"/>
  <c r="I69" i="1" s="1"/>
  <c r="H51" i="1"/>
  <c r="I51" i="1" s="1"/>
  <c r="H34" i="1"/>
  <c r="I34" i="1" s="1"/>
  <c r="H9" i="1"/>
  <c r="I9" i="1" s="1"/>
  <c r="H138" i="1"/>
  <c r="I138" i="1" s="1"/>
  <c r="H120" i="1"/>
  <c r="I120" i="1" s="1"/>
  <c r="H102" i="1"/>
  <c r="I102" i="1" s="1"/>
  <c r="H86" i="1"/>
  <c r="I86" i="1" s="1"/>
  <c r="H68" i="1"/>
  <c r="I68" i="1" s="1"/>
  <c r="H50" i="1"/>
  <c r="I50" i="1" s="1"/>
  <c r="H33" i="1"/>
  <c r="I33" i="1" s="1"/>
  <c r="F8" i="1"/>
  <c r="I149" i="1" s="1"/>
  <c r="I154" i="1" s="1"/>
  <c r="H8" i="1" l="1"/>
  <c r="I8" i="1" l="1"/>
  <c r="I150" i="1"/>
  <c r="I151" i="1" s="1"/>
  <c r="I155" i="1" s="1"/>
  <c r="J154" i="1" l="1"/>
  <c r="J155" i="1"/>
  <c r="I156" i="1" l="1"/>
  <c r="I157" i="1" s="1"/>
  <c r="J156" i="1" l="1"/>
  <c r="J157" i="1"/>
  <c r="I158" i="1" l="1"/>
  <c r="J158" i="1" l="1"/>
  <c r="I159" i="1"/>
</calcChain>
</file>

<file path=xl/sharedStrings.xml><?xml version="1.0" encoding="utf-8"?>
<sst xmlns="http://schemas.openxmlformats.org/spreadsheetml/2006/main" count="1587" uniqueCount="764">
  <si>
    <t/>
  </si>
  <si>
    <t>Bộ</t>
  </si>
  <si>
    <t>Trọn bộ</t>
  </si>
  <si>
    <t>Ghi chú</t>
  </si>
  <si>
    <t>Mã hiệu</t>
  </si>
  <si>
    <t>Đơn giá</t>
  </si>
  <si>
    <t>Stt</t>
  </si>
  <si>
    <t xml:space="preserve">Đơn vị tính </t>
  </si>
  <si>
    <t>Khối lượng</t>
  </si>
  <si>
    <t>Thành tiền
trước thuế VAT</t>
  </si>
  <si>
    <t>Thuế VAT</t>
  </si>
  <si>
    <t>%</t>
  </si>
  <si>
    <t>Tiền thuế</t>
  </si>
  <si>
    <t>Tổng tiền</t>
  </si>
  <si>
    <t>PHỤ LỤC 01: BẢNG CHI TIẾT GIÁ TRỊ HỢP ĐỒNG</t>
  </si>
  <si>
    <t>Tạm ứng (Đợt 01):</t>
  </si>
  <si>
    <t>TT Đợt 2:</t>
  </si>
  <si>
    <t>TT Đợt 3:</t>
  </si>
  <si>
    <t>TT Đợt 4:</t>
  </si>
  <si>
    <t>TT Đợt QT:</t>
  </si>
  <si>
    <t>Tổng giá trị trước thuế (VNĐ)</t>
  </si>
  <si>
    <t>Tổng giá trị sau thuế (VNĐ)</t>
  </si>
  <si>
    <t>Công trình: Xây dựng và lắp đặt VTTB (bao gồm PCCC)</t>
  </si>
  <si>
    <t>8</t>
  </si>
  <si>
    <t xml:space="preserve">THIẾT BỊ CHO CHỮA CHÁY DO NHÀ THẦU CUNG CẤP, VẬN CHUYỂN VÀ LẮP ĐẶT TẠI CÔNG TRƯỜNG </t>
  </si>
  <si>
    <t>Máy bơm diesel , Q=54m3/h; H=30mH2O</t>
  </si>
  <si>
    <t>Máy bơm điện , Q=54m3/h; H=30mH2O (đơn giá bao gồm công lắp đặt)</t>
  </si>
  <si>
    <t>Tủ điều khiển hệ thống bơm điện</t>
  </si>
  <si>
    <t>Tủ điều khiển hệ thống bơm diesel</t>
  </si>
  <si>
    <t>21</t>
  </si>
  <si>
    <t>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t>
  </si>
  <si>
    <t>Thùng đựng dụng cụ PCCC kích thước 900x400x900</t>
  </si>
  <si>
    <t>Bình CO2 loại 05 kg loại xách tay</t>
  </si>
  <si>
    <t>Bình CO2 loại 24 kg loại xe đẩy</t>
  </si>
  <si>
    <t>Bình Asul T35 có xe đẩy</t>
  </si>
  <si>
    <t>Tiêu lệnh và nội quy phòng cháy chữa cháy</t>
  </si>
  <si>
    <t>Sơ đồ hệ thống cứu hoả và PCCC</t>
  </si>
  <si>
    <t>Bảng đèn chỉ dẫn thoát nạn (EXIT)</t>
  </si>
  <si>
    <t>Dây tín hiệu 2x1,5mm² (chống nhiễu, chống cháy)</t>
  </si>
  <si>
    <t>Ống nhựa luồn dây D32</t>
  </si>
  <si>
    <t>Nút bấm báo động hỏa hoạn, đồng bộ với hệ thống nút bấm báo động</t>
  </si>
  <si>
    <t xml:space="preserve">Còi báo động </t>
  </si>
  <si>
    <t xml:space="preserve">Đèn chớp hỏa hoạn </t>
  </si>
  <si>
    <t xml:space="preserve">Đầu dò hỗn hợp (khói và nhiệt) lắp trong nhà </t>
  </si>
  <si>
    <t>Đầu dò nhiệt ngoài trời (loại chống nổ), kèm phụ kiện lắp đặt</t>
  </si>
  <si>
    <t>Cáp đồng bọc PVC 2x1,5mm2</t>
  </si>
  <si>
    <t>Ổng thép D21 luồn dây</t>
  </si>
  <si>
    <t>Co nối ống thép D21</t>
  </si>
  <si>
    <t>Măng xông nối ống D21</t>
  </si>
  <si>
    <t>Thép góc L70x70x5 - 14m</t>
  </si>
  <si>
    <t>Thép góc L50x50x5 - 10m</t>
  </si>
  <si>
    <t xml:space="preserve">Thép U120x52x4,8 dài 4m </t>
  </si>
  <si>
    <t>Bulong giãn chân M12x150</t>
  </si>
  <si>
    <t>Di dời tủ báo cháy tự động trung tâm, dạng địa chỉ</t>
  </si>
  <si>
    <t>Hộp nối cáp</t>
  </si>
  <si>
    <t>Ống thép lò xo tráng kẽm luồn dây báo cháy D21</t>
  </si>
  <si>
    <t>HỆ THỐNG CHỐNG CHÁY LAN TRUYỀN</t>
  </si>
  <si>
    <t>Foam chống cháy 750 ml</t>
  </si>
  <si>
    <t xml:space="preserve">Ống nhựa HPDE (uPVC)- 90mm2  </t>
  </si>
  <si>
    <t>Co lơi cho ống HPDE D90 mm2</t>
  </si>
  <si>
    <t>Keo dán ống nhựa (đã tính tiền trong VLP lắp ống)</t>
  </si>
  <si>
    <t>Dây cảm biến nhiệt dộ</t>
  </si>
  <si>
    <t xml:space="preserve">Đào đất </t>
  </si>
  <si>
    <t>Beton lót móng rộng &lt;=250cm đá 4x6, B7.5</t>
  </si>
  <si>
    <t>Bê tông móng , đá 1x2, B15</t>
  </si>
  <si>
    <t>Bu long neo M12x400</t>
  </si>
  <si>
    <t>Giá ĐỠ thép mạ kẽm PL60x4</t>
  </si>
  <si>
    <t>Lắp đặt bulon neo+giá ĐỠ</t>
  </si>
  <si>
    <t>Láng vữa mặt cổ móng M100</t>
  </si>
  <si>
    <t>Đắp đất công trình</t>
  </si>
  <si>
    <t>MÓNG M2(3 CK)</t>
  </si>
  <si>
    <t>Đào đất</t>
  </si>
  <si>
    <t>Bê tông lót móng đá 4x6, B7.5</t>
  </si>
  <si>
    <t>SXLD cốt thép móng đường kính &lt;=10mm</t>
  </si>
  <si>
    <t>SXLD cốt thép móng đường kính &lt;=18mm</t>
  </si>
  <si>
    <t>Láng vữa mặt cổ móng,M100</t>
  </si>
  <si>
    <t>Ống thép D=100mm</t>
  </si>
  <si>
    <t>Lắp đặt bích thép đường kính 100mm</t>
  </si>
  <si>
    <t>CCLĐ Bulon M16x40</t>
  </si>
  <si>
    <t>MÓNG M3(2CK)</t>
  </si>
  <si>
    <t>Láng vữa mặt cổ móng M100 dày 2,5cm</t>
  </si>
  <si>
    <t>CCLĐ Bulong lắp tủ M12x50</t>
  </si>
  <si>
    <t xml:space="preserve">Đắp đất công trình </t>
  </si>
  <si>
    <t>PHÁ DỠ VÀ TÁI LẬP NỀN ĐƯỜNG ĐỂ CHÔN ỐNG PCCC</t>
  </si>
  <si>
    <t>Phá dỡ đường bê tông đường trong trạm</t>
  </si>
  <si>
    <t>Phá lớp đá nền đường</t>
  </si>
  <si>
    <t>Làm móng đường cấp phối đá dăm 0-4</t>
  </si>
  <si>
    <t>Rải bao xi măng</t>
  </si>
  <si>
    <t>Bê tông đường đá 1x2, B25</t>
  </si>
  <si>
    <t>HỆ THỐNG PCCC BẰNG NƯỚC</t>
  </si>
  <si>
    <t>CCLĐ đồng hồ đo áp lực</t>
  </si>
  <si>
    <t>CCLĐ Van cổng D100</t>
  </si>
  <si>
    <t>CCLĐ Van cổng D80</t>
  </si>
  <si>
    <t>CCLĐ Van một chiều D100</t>
  </si>
  <si>
    <t>CCLĐ van an toàn đk 80</t>
  </si>
  <si>
    <t>CCLĐ lọc chữ Y</t>
  </si>
  <si>
    <t>Ống cao su mềm 100mm</t>
  </si>
  <si>
    <t>CCLĐ ống thép , đk 100</t>
  </si>
  <si>
    <t>CCLĐ ống thép , đk 80</t>
  </si>
  <si>
    <t>CCLĐ Co thép 90, đk 100 mm</t>
  </si>
  <si>
    <t>CCLĐ Co thép 90, đk 80 mm</t>
  </si>
  <si>
    <t>T thép đều của ống D100mm</t>
  </si>
  <si>
    <t>T thép đều của ống D80mm</t>
  </si>
  <si>
    <t>Lắp đặt giảm đồng trục 100mmx80mm</t>
  </si>
  <si>
    <t>Lắp mặt bích thép, đk 100</t>
  </si>
  <si>
    <t>Lắp mặt bích thép, đk 80</t>
  </si>
  <si>
    <t>Thép gia công mạ kẽm giá đỡ hệ thống bơm</t>
  </si>
  <si>
    <t>Joint cao su</t>
  </si>
  <si>
    <t>Bu lông neo cho hệ thống bơm</t>
  </si>
  <si>
    <t>Bu lông cho van lọc Y</t>
  </si>
  <si>
    <t>Bu lông giãn nở</t>
  </si>
  <si>
    <t>Sơn ống, giá đỡ hệ thống bơm</t>
  </si>
  <si>
    <t>Ống PVC luồn dây D50</t>
  </si>
  <si>
    <t>Dây cáp tín hiệu đồng bọc PVC 4x10mm2</t>
  </si>
  <si>
    <t>Lắp cáp đồng bọc (3x25+1x16)mm2</t>
  </si>
  <si>
    <t>HỆ THỐNG ĐƯỜNG ỐNG VÀ HỌNG CHỮA CHÁY</t>
  </si>
  <si>
    <t>Ống thép đen  D100</t>
  </si>
  <si>
    <t>LĐ Co thép 90, đk 100 mm</t>
  </si>
  <si>
    <t>Mặt bích DN=100mm</t>
  </si>
  <si>
    <t>Van cổng D100</t>
  </si>
  <si>
    <t>Tủ trụ cứu hoả ngoài trời (gồm cuôn vòi 65mm-20m kèm tủ đựng, lăng phun A)</t>
  </si>
  <si>
    <t>Trụ cứu hỏa ngoài trời</t>
  </si>
  <si>
    <t>Sơn hoàn thiện hệ thống ống và khớp nối</t>
  </si>
  <si>
    <t>Dây đồng trần C120mm2</t>
  </si>
  <si>
    <t>Đầu cốt đồng loại ép (cỡ dây 120mm2)</t>
  </si>
  <si>
    <t>Mối hàn hóa nhiệt kiểu T (Dây đồng 120mm2 /dây đồng 120mm2)</t>
  </si>
  <si>
    <t>Lắp đặt toàn bộ thiết bị và thử nghiệm hệ thống PCCC</t>
  </si>
  <si>
    <t>25</t>
  </si>
  <si>
    <t>MÁI CHE THIẾT BỊ PCCC</t>
  </si>
  <si>
    <t>Bê tông lót đá 4x6, M100</t>
  </si>
  <si>
    <t>Bê tông đá 1x2, B15</t>
  </si>
  <si>
    <t>SXLD xà gồ thép</t>
  </si>
  <si>
    <t>CCLĐ ống thép gia cường D38x1.4mm</t>
  </si>
  <si>
    <t>Sơn sắt thép</t>
  </si>
  <si>
    <t>SXLD mái tôn màu 4,5 dem</t>
  </si>
  <si>
    <t>CCLĐ Bu long giãn chân M12x150</t>
  </si>
  <si>
    <t>26</t>
  </si>
  <si>
    <t>HỆ THỐNG SCADA DO NHÀ THẦU CUNG CẤP, VẬN CHUYỂN VÀ LẮP ĐẶT HOÀN THIỆN TẠI CÔNG TRÌNH</t>
  </si>
  <si>
    <t>Thiết bị Ethernet Switch</t>
  </si>
  <si>
    <t>Relay trung gian 110DVC</t>
  </si>
  <si>
    <t>Hàng kẹp điều khiển</t>
  </si>
  <si>
    <t>Hàng kẹp tín hiệu</t>
  </si>
  <si>
    <t>Cáp tín hiệu có bọc giáp chống nhiễu</t>
  </si>
  <si>
    <t>Cáp quang multi-mode (dây nhảy quang 20m)</t>
  </si>
  <si>
    <t>Cáp điện đơn mềm 1x2,5mm2</t>
  </si>
  <si>
    <t>Cáp nguồn 2 x 2,5mm²</t>
  </si>
  <si>
    <t xml:space="preserve">Vật liệu phụ (cổ cáp, gen, coss, băng keo điện, dây gút, ốc vít, nhãn cáp…) </t>
  </si>
  <si>
    <t>27</t>
  </si>
  <si>
    <t>HỆ THỐNG APPMETER DO NHÀ THẦU CUNG CẤP, VẬN CHUYỂN VÀ LẮP ĐẶT HOÀN THIỆN TẠI CÔNG TRÌNH</t>
  </si>
  <si>
    <t>Máy tính công nghiệp (bao gồm cả màn hình)</t>
  </si>
  <si>
    <t>Cáp mạng SFTPCAT6</t>
  </si>
  <si>
    <t>Connector RS232</t>
  </si>
  <si>
    <t>Vật liệu phụ (cổ cáp, gen, coss, băng keo điện, dây rút, ốc vít, nhãn cáp …)</t>
  </si>
  <si>
    <t>HỆ THỐNG CAMERA DO NHÀ THẦU CUNG CẤP, VẬN CHUYỂN VÀ LẮP ĐẶT HOÀN THIỆN TẠI CÔNG TRÌNH</t>
  </si>
  <si>
    <t>Trung tâm kiểm soát ra vào</t>
  </si>
  <si>
    <t>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t>
  </si>
  <si>
    <t>Dây tín hiệu</t>
  </si>
  <si>
    <t>Dây cấp nguồn</t>
  </si>
  <si>
    <t>Ống PVC D19 luồn dây (trong nhà)</t>
  </si>
  <si>
    <t>Ống ruột gà thép D19 luồn dây (ngoài trời)</t>
  </si>
  <si>
    <t>Trọn bộ ốc vít, co, ống nối, băng keo để lắp đặt</t>
  </si>
  <si>
    <t>cái</t>
  </si>
  <si>
    <t>tủ</t>
  </si>
  <si>
    <t>Thùng</t>
  </si>
  <si>
    <t>Bình</t>
  </si>
  <si>
    <t>Bảng</t>
  </si>
  <si>
    <t>m</t>
  </si>
  <si>
    <t>Cái</t>
  </si>
  <si>
    <t>kg</t>
  </si>
  <si>
    <t>Hệ thống</t>
  </si>
  <si>
    <t>hộp</t>
  </si>
  <si>
    <t>chai</t>
  </si>
  <si>
    <t>lô</t>
  </si>
  <si>
    <t>m3</t>
  </si>
  <si>
    <t>m2</t>
  </si>
  <si>
    <t>cặp bích</t>
  </si>
  <si>
    <t>100m</t>
  </si>
  <si>
    <t>bộ</t>
  </si>
  <si>
    <t>10cái</t>
  </si>
  <si>
    <t>t.bộ</t>
  </si>
  <si>
    <t>T/bộ</t>
  </si>
  <si>
    <t>sợi</t>
  </si>
  <si>
    <t>T.bộ</t>
  </si>
  <si>
    <t>Nội dung công việc</t>
  </si>
  <si>
    <t>1</t>
  </si>
  <si>
    <t>2</t>
  </si>
  <si>
    <t>3</t>
  </si>
  <si>
    <t>4</t>
  </si>
  <si>
    <t>5</t>
  </si>
  <si>
    <t>6</t>
  </si>
  <si>
    <t>7</t>
  </si>
  <si>
    <t>9</t>
  </si>
  <si>
    <t>10</t>
  </si>
  <si>
    <t>11</t>
  </si>
  <si>
    <t>12</t>
  </si>
  <si>
    <t>13</t>
  </si>
  <si>
    <t>14</t>
  </si>
  <si>
    <t>15</t>
  </si>
  <si>
    <t>16</t>
  </si>
  <si>
    <t>17</t>
  </si>
  <si>
    <t>18</t>
  </si>
  <si>
    <t>19</t>
  </si>
  <si>
    <t>20</t>
  </si>
  <si>
    <t>22</t>
  </si>
  <si>
    <t>23</t>
  </si>
  <si>
    <t>24</t>
  </si>
  <si>
    <t>I</t>
  </si>
  <si>
    <t>II</t>
  </si>
  <si>
    <t>III</t>
  </si>
  <si>
    <t>IV</t>
  </si>
  <si>
    <t>V</t>
  </si>
  <si>
    <t>VI</t>
  </si>
  <si>
    <t>VII</t>
  </si>
  <si>
    <t>VIII</t>
  </si>
  <si>
    <t>IX</t>
  </si>
  <si>
    <t>X</t>
  </si>
  <si>
    <t>XI</t>
  </si>
  <si>
    <t>XII</t>
  </si>
  <si>
    <r>
      <t>(Đính kèm theo Hợp đồng số:</t>
    </r>
    <r>
      <rPr>
        <b/>
        <i/>
        <sz val="14"/>
        <color rgb="FFFF0000"/>
        <rFont val="Times New Roman"/>
        <family val="1"/>
      </rPr>
      <t xml:space="preserve"> 130426</t>
    </r>
    <r>
      <rPr>
        <b/>
        <i/>
        <sz val="14"/>
        <color rgb="FF000000"/>
        <rFont val="Times New Roman"/>
        <family val="1"/>
      </rPr>
      <t xml:space="preserve">/HĐXL/THIFACO-TSM ngày </t>
    </r>
    <r>
      <rPr>
        <b/>
        <i/>
        <sz val="14"/>
        <color rgb="FFFF0000"/>
        <rFont val="Times New Roman"/>
        <family val="1"/>
      </rPr>
      <t>13/04/2026</t>
    </r>
    <r>
      <rPr>
        <b/>
        <i/>
        <sz val="14"/>
        <color rgb="FF000000"/>
        <rFont val="Times New Roman"/>
        <family val="1"/>
      </rPr>
      <t>)</t>
    </r>
  </si>
  <si>
    <t>Kyland/Trung Quốc</t>
  </si>
  <si>
    <t>Trung Quốc</t>
  </si>
  <si>
    <t>Việt Nam</t>
  </si>
  <si>
    <t>ENBOX-770X</t>
  </si>
  <si>
    <t>Ugreen 80110</t>
  </si>
  <si>
    <t>- Bộ điều khiển trung tâm: DS-K2604T
- Đầu đọc chính: DS-K1104MK 
- Đầu đọc phụ: DS-K1107AM
- Khóa điện: DS-K4H250S
- Hộp thoát khẩn: DS-K7PEB</t>
  </si>
  <si>
    <t>CAT6</t>
  </si>
  <si>
    <t>BPE-DE22-I50.26C</t>
  </si>
  <si>
    <t>BPE-EE22-I50.26C</t>
  </si>
  <si>
    <t>Cơ khí 83/BQP</t>
  </si>
  <si>
    <t>83MEC/CO2/MT5</t>
  </si>
  <si>
    <t>MT24</t>
  </si>
  <si>
    <t>MT35</t>
  </si>
  <si>
    <t>FFH2E090</t>
  </si>
  <si>
    <t>Gói 6: Xây dựng và lắp đặt VTTB (bao gồm PCCC)</t>
  </si>
  <si>
    <t>Công trình: Cải tạo trạm biến áp Đắk R’Lấp</t>
  </si>
  <si>
    <t>STT</t>
  </si>
  <si>
    <t>Nội dung yêu cầu</t>
  </si>
  <si>
    <t>Nhà thầu chào</t>
  </si>
  <si>
    <t>Mô tả</t>
  </si>
  <si>
    <t>Đơn vị</t>
  </si>
  <si>
    <t>Yêu cầu</t>
  </si>
  <si>
    <t>Nhà sản xuất</t>
  </si>
  <si>
    <t>Nêu cụ thể</t>
  </si>
  <si>
    <t>Nước sản xuất</t>
  </si>
  <si>
    <t>Tiêu chuẩn quản lý chất lượng sản phẩm</t>
  </si>
  <si>
    <t>Tiêu chuẩn áp dụng</t>
  </si>
  <si>
    <t>Yêu cầu về kết cấu:</t>
  </si>
  <si>
    <t>Kết cấu bề mặt</t>
  </si>
  <si>
    <t>Bề mặt đồng đều; các sợi bện không chồng chéo, không có khuyết tật; tại các đầu và cuối của dây bện phải có đai chống bung xoắn.</t>
  </si>
  <si>
    <t>Đáp ứng</t>
  </si>
  <si>
    <t>Các lớp xoắn</t>
  </si>
  <si>
    <t>Các lớp xoắn kế tiếp nhau phải ngược chiều nhau và được xoắn chặt với nhau; lớp xoắn ngoài cùng theo chiều phải.</t>
  </si>
  <si>
    <t>Mối nối</t>
  </si>
  <si>
    <t>Tiết diện danh định</t>
  </si>
  <si>
    <t>“</t>
  </si>
  <si>
    <t>Điện trở DC ở 20°C:</t>
  </si>
  <si>
    <t>Lực kéo đứt của dây</t>
  </si>
  <si>
    <t>Chiều dài cuộn cáp:</t>
  </si>
  <si>
    <t>Tiêu chuẩn</t>
  </si>
  <si>
    <t>TCVN 4766-89</t>
  </si>
  <si>
    <t>Ghi nhãn</t>
  </si>
  <si>
    <t>Bao gói</t>
  </si>
  <si>
    <t>Đầu ngoài cùng của dây được cố định vào tang trống</t>
  </si>
  <si>
    <t>Thử nghiệm</t>
  </si>
  <si>
    <t>Công ty TNHH TM SX Dây và Cáp điện ĐẠI LONG</t>
  </si>
  <si>
    <t>Điện áp định mức [pha/dây (tối đa)]</t>
  </si>
  <si>
    <t>Ruột dẫn</t>
  </si>
  <si>
    <t>Vỏ cáp</t>
  </si>
  <si>
    <t>Liên tục</t>
  </si>
  <si>
    <t>Ngắn mạch trong 5 giây</t>
  </si>
  <si>
    <t>mm</t>
  </si>
  <si>
    <t>Ghi nhãn, bao gói và vận chuyển</t>
  </si>
  <si>
    <t>Tài liệu kỹ thuật (catalogue, bản vẽ,…)</t>
  </si>
  <si>
    <t>Thử nghiệm xuất xưởng</t>
  </si>
  <si>
    <t>Thử nghiệm điển hình</t>
  </si>
  <si>
    <t>Thử nghiệm nghiệm thu</t>
  </si>
  <si>
    <t>Bảng tiêu chí đánh giá cáp nguồn hạ thế</t>
  </si>
  <si>
    <t>IEC 60502-1, IEC 60332-1, IEC 60332-3-24 hoặc tương đương</t>
  </si>
  <si>
    <t>Loại cáp</t>
  </si>
  <si>
    <t>Cáp nguồn hạ áp 0,6/1kV, ruột đồng mềm, nhiều lõi, cách điện và lớp vỏ bọc ngoài làm bằng vật liệu PVC chậm bắt lửa (FR-PVC) dùng để cấp nguồn hạ thế AC, DC trong TBA 110kV</t>
  </si>
  <si>
    <t>0,6/1 kV</t>
  </si>
  <si>
    <t>Sợi đồng mềm, xoắn đồng tâm</t>
  </si>
  <si>
    <t>Lớp cách điện chính</t>
  </si>
  <si>
    <r>
      <t xml:space="preserve">Làm bằng vật liệu PVC chậm bắt lửa (FR-PVC) bọc quanh từng lõi dẫn tạo thành lớp cách điện chính định hình bằng phương pháp đùn, chiều dày </t>
    </r>
    <r>
      <rPr>
        <sz val="12"/>
        <rFont val="Symbol"/>
        <family val="1"/>
        <charset val="2"/>
      </rPr>
      <t>³</t>
    </r>
    <r>
      <rPr>
        <sz val="12"/>
        <rFont val="Times New Roman"/>
        <family val="1"/>
      </rPr>
      <t xml:space="preserve"> 1,0mm và giá trị sai biệt </t>
    </r>
    <r>
      <rPr>
        <sz val="12"/>
        <rFont val="Symbol"/>
        <family val="1"/>
        <charset val="2"/>
      </rPr>
      <t>£</t>
    </r>
    <r>
      <rPr>
        <sz val="12"/>
        <rFont val="Times New Roman"/>
        <family val="1"/>
      </rPr>
      <t xml:space="preserve"> 0,1mm+10% chiều dày danh định.</t>
    </r>
  </si>
  <si>
    <t>Vật liệu độn</t>
  </si>
  <si>
    <t>Làm bằng vật liệu PP hoặc PVC điền đầy giữa các lõi</t>
  </si>
  <si>
    <t>Làm bằng vật liệu PVC chậm bắt lửa (FR-PVC), màu đen với bề dày danh định vỏ cáp tối thiểu 1,8mm</t>
  </si>
  <si>
    <t>Số sợi của mỗi lõi dẫn theo IEC 60288</t>
  </si>
  <si>
    <t>Nhà thầu nêu cụ thể các thông số của các chủng loại cáp cung cấp vào Bảng danh mục cáp đính kèm</t>
  </si>
  <si>
    <r>
      <t>Điện trở lõi dẫn tối đa ở 20</t>
    </r>
    <r>
      <rPr>
        <sz val="12"/>
        <rFont val="Symbol"/>
        <family val="1"/>
        <charset val="2"/>
      </rPr>
      <t>°</t>
    </r>
    <r>
      <rPr>
        <sz val="12"/>
        <rFont val="Times New Roman"/>
        <family val="1"/>
      </rPr>
      <t>C (theo IEC 60228)</t>
    </r>
  </si>
  <si>
    <t>Nhiệt độ làm việc cho phép của cáp:</t>
  </si>
  <si>
    <r>
      <t>70</t>
    </r>
    <r>
      <rPr>
        <sz val="12"/>
        <rFont val="Symbol"/>
        <family val="1"/>
        <charset val="2"/>
      </rPr>
      <t>°</t>
    </r>
    <r>
      <rPr>
        <sz val="12"/>
        <rFont val="Times New Roman"/>
        <family val="1"/>
      </rPr>
      <t>C</t>
    </r>
  </si>
  <si>
    <r>
      <t>160</t>
    </r>
    <r>
      <rPr>
        <sz val="12"/>
        <rFont val="Symbol"/>
        <family val="1"/>
        <charset val="2"/>
      </rPr>
      <t>°</t>
    </r>
    <r>
      <rPr>
        <sz val="12"/>
        <rFont val="Times New Roman"/>
        <family val="1"/>
      </rPr>
      <t>C</t>
    </r>
  </si>
  <si>
    <t>Điện áp chịu đựng tần số công nghiệp trong 5 phút</t>
  </si>
  <si>
    <t>3,5 kVrms</t>
  </si>
  <si>
    <t>Điện áp chịu đựng tần số công nghiệp trong 4 giờ</t>
  </si>
  <si>
    <t>2,4 kVrms</t>
  </si>
  <si>
    <t>Đánh dấu cáp</t>
  </si>
  <si>
    <t>Theo yêu cầu tại mục II-5.1</t>
  </si>
  <si>
    <r>
      <t xml:space="preserve">a) Các thông tin cách nhau khoảng 1m dọc theo chiều dài cáp và phải được in bằng mực không phai với các nội dung chi tiết như sau:
</t>
    </r>
    <r>
      <rPr>
        <b/>
        <sz val="13"/>
        <rFont val="Times New Roman"/>
        <family val="1"/>
      </rPr>
      <t>Ví dụ:
0m DAILONG 2026 – Cu/PVC-Fr/PVC-Fr 2x2,5mm2 – 0,6/1kV</t>
    </r>
    <r>
      <rPr>
        <sz val="13"/>
        <rFont val="Times New Roman"/>
        <family val="1"/>
      </rPr>
      <t xml:space="preserve">
b) Nhận diện lõi cáp: Từng lõi trong cáp nhiều lõi sẽ được phân biệt bằng màu
sắc.</t>
    </r>
  </si>
  <si>
    <t>Theo yêu cầu tại mục II-5.2</t>
  </si>
  <si>
    <t>Tiếng Anh/Tiếng Việt (Cung cấp kèm HSDT)</t>
  </si>
  <si>
    <t>Tiêu chuẩn quản lý chất lượng</t>
  </si>
  <si>
    <t>ISO 9001 (Cung cấp kèm theo HSDT)</t>
  </si>
  <si>
    <t>ISO 9001 : 2015
(Cung cấp kèm theo HSDT)</t>
  </si>
  <si>
    <t>Theo yêu cầu tại mục II-4.1</t>
  </si>
  <si>
    <t>Đáp ứng
-Thử nghiệm điện áp tần số công nghiệp3,5kV trong 5 phút</t>
  </si>
  <si>
    <t>Theo yêu cầu tại mục II-4.2 (Cung cấp kèm theo HSDT)</t>
  </si>
  <si>
    <t>Thử nghiệm nghiệm thu, giao hàng</t>
  </si>
  <si>
    <t>Theo yêu cầu tại mục II-4.3</t>
  </si>
  <si>
    <t>Bảng tiêu chí đánh giá cáp nhị thứ</t>
  </si>
  <si>
    <t>Cáp hạ áp 0,6/1kV, ruột đồng mềm, nhiều lõi, cách điện và vỏ bọc ngoài làm bằng vật liệu PVC chậm bắt lửa (FR-PVC) với lớp băng đồng chống nhiễu dùng đấu nối trên các mạch nhị thứ (đo lường, điều khiển, bảo vệ,..) trong TBA 110kV</t>
  </si>
  <si>
    <t>Ép đùn PVC</t>
  </si>
  <si>
    <t>Lớp băng đồng chống nhiễu</t>
  </si>
  <si>
    <t>Bề dày danh định tối thiểu 0,05mm</t>
  </si>
  <si>
    <t>Nhà thầu nêu cụ thể các thông số của các chủng loại cáp cung cấp vào Bảng danh mục cáp – Đính kèm</t>
  </si>
  <si>
    <r>
      <t xml:space="preserve">a) Các thông tin cách nhau khoảng 1m dọc theo chiều dài cáp và phải được in bằng mực không phai với các nội dung chi tiết như sau: 
</t>
    </r>
    <r>
      <rPr>
        <b/>
        <sz val="13"/>
        <rFont val="Times New Roman"/>
        <family val="1"/>
      </rPr>
      <t xml:space="preserve">Ví dụ:
0m DAILONG 2026 – Cu/PVC-Fr/CTS/PVC-Fr 4x4mm2 – 0,6/1kV
</t>
    </r>
    <r>
      <rPr>
        <sz val="13"/>
        <rFont val="Times New Roman"/>
        <family val="1"/>
      </rPr>
      <t xml:space="preserve">
b) Nhận diện lõi cáp: Từng lõi trong cáp nhiều lõi sẽ được phân biệt bằng màu sắc. Trường hợp số lõi cáp &gt; 5 thì lõi cáp có thể được phân biệt bằng dạng chữ số</t>
    </r>
  </si>
  <si>
    <t>Tài liệu kỹ thuật (catalogue, bản vẽ,..)</t>
  </si>
  <si>
    <t>Tiếng Anh/ Tiếng Việt (Cung cấp kèm theo HSDT)</t>
  </si>
  <si>
    <t>Bảng tiêu chí đánh giá Dây đồng cách điện PVC  hạ thế 0.6/1kV  (CV)</t>
  </si>
  <si>
    <t>Công ty TNHH SX Dây và cáp
điện Đại Long</t>
  </si>
  <si>
    <t>VIỆT NAM</t>
  </si>
  <si>
    <t>Mã hiệu dây dẫn</t>
  </si>
  <si>
    <t>CV</t>
  </si>
  <si>
    <t>TCVN 5064-1994 &amp; SĐ1: 1995/TCVN 8090:2009/IEC 62219:2002; TCVN 6483/IEC 61089; TCVN 5935-1/IEC 60502-1, IEC 60228 hoặc tiêu chuẩn tương đương</t>
  </si>
  <si>
    <t>TCVN 5064: 1994 TCVN 5064:1994/SĐ1:1995 IEC 60502-1(tương đương TCVN 5935-1: 2013) IEC 60228 (tương đương TCVN 6612: 2007) AS/NZS 5000.1: 2005 hoặc tiêu chuẩn tương đương</t>
  </si>
  <si>
    <t>Chủng loại dây dẫn</t>
  </si>
  <si>
    <t>Dây đồng mềm, cách điện PVC hạ thế, 01 lõi, lắp đặt ở ngoài trời hoặc trong nhà, ký hiệu [CV]</t>
  </si>
  <si>
    <t>Loại ruột dẫn</t>
  </si>
  <si>
    <t>Ruột dẫn gồm nhiều sợi đồng mềm, xoắn đồng tâm</t>
  </si>
  <si>
    <t>Điện áp định mức (pha/dây)</t>
  </si>
  <si>
    <t>0,6/1</t>
  </si>
  <si>
    <t>- CV 50</t>
  </si>
  <si>
    <t>Số sợi /đường kính sợi</t>
  </si>
  <si>
    <t>19 / 1,8</t>
  </si>
  <si>
    <t>Điện trở một chiều lớn nhất của ruột dẫn ở 200C</t>
  </si>
  <si>
    <t>≤0,387</t>
  </si>
  <si>
    <t>Vật liệu cách điện</t>
  </si>
  <si>
    <t>PVC bền với tia tử ngoại, bề dày ³ bề dày danh định như mục 12, và giá trị sai biệt £ 0,1mm + 10% bề dày danh định</t>
  </si>
  <si>
    <t>Bề dày cách điện danh định (IEC 60502-1)</t>
  </si>
  <si>
    <t>≥1,4</t>
  </si>
  <si>
    <t>Khối lượng dây (gần đúng)</t>
  </si>
  <si>
    <t>Nhiệt độ dây dẫn tối đa:</t>
  </si>
  <si>
    <t>- Vận hành bình thường</t>
  </si>
  <si>
    <t>oC</t>
  </si>
  <si>
    <t>- Vận hành ngắn mạch không quá 5 giây, mặt cắt &gt; 300mm2</t>
  </si>
  <si>
    <t>- Vận hành ngắn mạch không quá 5 giây, mặt cắt £ 300mm2</t>
  </si>
  <si>
    <t>Điện áp thử nghiệm tần số công nghiệp trong 5 phút</t>
  </si>
  <si>
    <t>3,5</t>
  </si>
  <si>
    <t>Điện áp thử nghiệm tần số công nghiệp trong 4 giờ</t>
  </si>
  <si>
    <t>2,4</t>
  </si>
  <si>
    <t>Nhiệt độ môi trường cực đại</t>
  </si>
  <si>
    <t>Độ ẩm môi trường tương đối cực đại</t>
  </si>
  <si>
    <t>Chiều dài của 1 cuộn dây dẫn</t>
  </si>
  <si>
    <t>≥ 500 - 1000</t>
  </si>
  <si>
    <t>Đánh dấu dây dẫn</t>
  </si>
  <si>
    <t>Đáp ứng yêu cầu tại Phần IV – Mục 1</t>
  </si>
  <si>
    <t xml:space="preserve">Cách nhau khoảng cách 1m dọc theo chiều dài  dây dẫn các thông tin sau được in bằng mực không phai:
Ví dụ:
0m DAILONG 2026 – 
CV 50mm2 – 0,6/1kV </t>
  </si>
  <si>
    <t>Đáp ứng yêu cầu tại Phần IV – Mục 2</t>
  </si>
  <si>
    <t>Kiểm tra, thử nghiệm</t>
  </si>
  <si>
    <t>Thử nghiệm thường xuyên (Routine test)</t>
  </si>
  <si>
    <t>Đáp ứng yêu cầu tại Phần III – Mục 1</t>
  </si>
  <si>
    <t>Thử nghiệm điển hình (Type test)</t>
  </si>
  <si>
    <t>Đáp ứng yêu cầu tại Phần III – Mục 2</t>
  </si>
  <si>
    <t>Đáp ứng yêu cầu tại Phần III – Mục 3</t>
  </si>
  <si>
    <t>ISO 9001 hoặc tương đương (Cung cấp kèm theo HSDT)</t>
  </si>
  <si>
    <t xml:space="preserve">Bảng tiêu chí đánh giá Dây đồng trần </t>
  </si>
  <si>
    <t>C 120</t>
  </si>
  <si>
    <t>TCVN 5064-1994, TCVN 5064-1994/SĐ1:1995 hoặc
tương đương</t>
  </si>
  <si>
    <t>Mối nối phải được thực hiện bằng phương pháp hàn chảy hoặc hàn ép phù hợp với TCVN. Trên mỗi sợi bất kỳ của lới ngoài cùng không có quá 5 mối nối. Khoảng cách giữa các mối nối trên các sợi khác nhau, cũng như trên cùng một sợi không được nhỏ hơn 15m.</t>
  </si>
  <si>
    <t>C-120</t>
  </si>
  <si>
    <t>Số sợi /đường kính sợi:</t>
  </si>
  <si>
    <t>19/2,80</t>
  </si>
  <si>
    <t>Thông số kỹ thuật của sợi dây đồng:</t>
  </si>
  <si>
    <t>Sai số cho phép của đường kính sợi đồng, mm</t>
  </si>
  <si>
    <t>- Trên 1, 00 đến 3,00</t>
  </si>
  <si>
    <t>± 0,02</t>
  </si>
  <si>
    <t>- Trên 3, 00 đến 4,00</t>
  </si>
  <si>
    <t>± 0,03</t>
  </si>
  <si>
    <t>Ứng suất chịu kéo đứt tối thiểu của đường kính sợi đồng, mm</t>
  </si>
  <si>
    <t>N/mm2</t>
  </si>
  <si>
    <t>Độ dãn dài tương đối tối thiểu của đường kính sợi đồng, mm</t>
  </si>
  <si>
    <t>1,5</t>
  </si>
  <si>
    <t>Ω/km</t>
  </si>
  <si>
    <t>0,1560</t>
  </si>
  <si>
    <t>Trọng lượng gần đúng:</t>
  </si>
  <si>
    <t>Kg/km</t>
  </si>
  <si>
    <t>N</t>
  </si>
  <si>
    <t>≥ 46.845</t>
  </si>
  <si>
    <t>Bán kính bẻ cong /số lần bẻ cong</t>
  </si>
  <si>
    <t>[mm+0,05
/lần]</t>
  </si>
  <si>
    <t>7,5/ ≥ 7</t>
  </si>
  <si>
    <t>Bội số bước xoắn</t>
  </si>
  <si>
    <t>TCVN 5064-1994 &amp; SĐ1: 1995/TCVN 8090:2009/IEC 62219: 2002</t>
  </si>
  <si>
    <t>Lớp thứ nhất</t>
  </si>
  <si>
    <t>10 ÷ 18</t>
  </si>
  <si>
    <t>Lớp thứ hai</t>
  </si>
  <si>
    <t>10 ÷ 15</t>
  </si>
  <si>
    <t>C-120 ÷ C-150</t>
  </si>
  <si>
    <t>≥ 1.200</t>
  </si>
  <si>
    <t>•  Tên cơ sở SX /ký hiệu hàng hóa;
•	Ký hiệu dây;
•	Chiều dài dây [m];
•	Khối lượng [kg];
•	Tháng năm sản xuất; và
•	Mũi tên chỉ chiều lăn khi vận chuyển</t>
  </si>
  <si>
    <t>Các tài liệu kỹ thuật, bản vẽ kèm theo</t>
  </si>
  <si>
    <t>Đáp ứng yêu cầu tại Phần IV (Tài liệu bằng Tiếng Anh hoặc Tiếng Việt được cung cấp kèm theo HSDT)</t>
  </si>
  <si>
    <t>Bảng tiêu chí đánh giá Đầu dò hỗn hợp (khói và nhiệt) lắp trong nhà</t>
  </si>
  <si>
    <t>Mã sản phẩm</t>
  </si>
  <si>
    <t>Nhà thầu khai báo</t>
  </si>
  <si>
    <t>ACC-V</t>
  </si>
  <si>
    <t>Hochiki</t>
  </si>
  <si>
    <t>Anh</t>
  </si>
  <si>
    <t>Catalog theo mã thiết bị</t>
  </si>
  <si>
    <t>Nhà thầu xuất trình</t>
  </si>
  <si>
    <t>Chứng nhận CO</t>
  </si>
  <si>
    <t>Có (nếu hàng hóa nước ngoài)</t>
  </si>
  <si>
    <t>Chứng nhận CQ hoặc Chứng   nhận xuất xưởng</t>
  </si>
  <si>
    <t>Có</t>
  </si>
  <si>
    <t>Tiêu chuẩn tác động môi trường</t>
  </si>
  <si>
    <t>CE hoặc tương đương</t>
  </si>
  <si>
    <t>ISO 9001</t>
  </si>
  <si>
    <t>Chất lượng thiết bị</t>
  </si>
  <si>
    <t>Mới 100%</t>
  </si>
  <si>
    <t>Thời gian bảo hành</t>
  </si>
  <si>
    <t>12 tháng kể từ khi ký biên bản nghiệm thu  và đưa vào sử dụng.</t>
  </si>
  <si>
    <t>Năm sản xuất</t>
  </si>
  <si>
    <t>Đơn vị tự đề xuất đảm bảo sản phẩm có thời gian sản xuất phù hợp</t>
  </si>
  <si>
    <t>Từ 2025 trở lại đây</t>
  </si>
  <si>
    <t>Kiểu</t>
  </si>
  <si>
    <t>địa chỉ</t>
  </si>
  <si>
    <t>Khả năng tương thích</t>
  </si>
  <si>
    <t>Tương thích với tủ báo cháy</t>
  </si>
  <si>
    <t>Khả năng lập trình địa chỉ</t>
  </si>
  <si>
    <t>Có, nêu cụ thể</t>
  </si>
  <si>
    <t>Đèn chỉ thị chế độ làm việc bình thương và sự cố</t>
  </si>
  <si>
    <t>Nhiệt độ làm việc</t>
  </si>
  <si>
    <t>Tối thiểu ≤ 0°C
Tối đa ≥ 45°C</t>
  </si>
  <si>
    <t>XIII</t>
  </si>
  <si>
    <t>Bình chữa cháy CO2</t>
  </si>
  <si>
    <t>Khí chữa cháy</t>
  </si>
  <si>
    <r>
      <t>CO</t>
    </r>
    <r>
      <rPr>
        <vertAlign val="subscript"/>
        <sz val="12"/>
        <rFont val="Times New Roman"/>
        <family val="1"/>
      </rPr>
      <t>2</t>
    </r>
  </si>
  <si>
    <t>Cấp độ chữa cháy</t>
  </si>
  <si>
    <t>55B</t>
  </si>
  <si>
    <t>Lượng khí CO2 trong bình</t>
  </si>
  <si>
    <t>5kg</t>
  </si>
  <si>
    <t>TCVN 6100-1996, NFPA10</t>
  </si>
  <si>
    <t>XIV</t>
  </si>
  <si>
    <t>Bình chữa cháy CO2 xe đẩy</t>
  </si>
  <si>
    <t>24kg</t>
  </si>
  <si>
    <t>XV</t>
  </si>
  <si>
    <t>Bình Ansul T35</t>
  </si>
  <si>
    <t>Chất chữa cháy</t>
  </si>
  <si>
    <t>Bột BC hoặc ABC</t>
  </si>
  <si>
    <t>30-35kg</t>
  </si>
  <si>
    <t>XVI</t>
  </si>
  <si>
    <t>Đầu báo cháy nhiệt chống nổ, loại ngoài trời</t>
  </si>
  <si>
    <t xml:space="preserve">Nhà sản xuất </t>
  </si>
  <si>
    <t>Japan</t>
  </si>
  <si>
    <t>Dạng</t>
  </si>
  <si>
    <t>Cố định loại ngoài trời</t>
  </si>
  <si>
    <t>Nhiệt tác động</t>
  </si>
  <si>
    <r>
      <t>80</t>
    </r>
    <r>
      <rPr>
        <vertAlign val="superscript"/>
        <sz val="13"/>
        <rFont val="Times New Roman"/>
        <family val="1"/>
      </rPr>
      <t>0</t>
    </r>
    <r>
      <rPr>
        <sz val="13"/>
        <rFont val="Times New Roman"/>
        <family val="1"/>
      </rPr>
      <t>C</t>
    </r>
  </si>
  <si>
    <t>Loại</t>
  </si>
  <si>
    <t>chống nổ lắp ngoài trời</t>
  </si>
  <si>
    <t>Chống nổ theo</t>
  </si>
  <si>
    <t>d2G4</t>
  </si>
  <si>
    <t>Diện tích bảo vệ ở cao độ 4m</t>
  </si>
  <si>
    <r>
      <t>30m</t>
    </r>
    <r>
      <rPr>
        <vertAlign val="superscript"/>
        <sz val="13"/>
        <rFont val="Times New Roman"/>
        <family val="1"/>
      </rPr>
      <t>2</t>
    </r>
  </si>
  <si>
    <t>Nguyên lý cảm ứng nhiệt</t>
  </si>
  <si>
    <t>bộ cảm ứng SUS 321</t>
  </si>
  <si>
    <t>Vỏ</t>
  </si>
  <si>
    <t>hợp kim nhôm đúc</t>
  </si>
  <si>
    <t>Cấp bảo vệ</t>
  </si>
  <si>
    <t>IP65</t>
  </si>
  <si>
    <t>Độ ẩm môi trường</t>
  </si>
  <si>
    <t>0-95%</t>
  </si>
  <si>
    <t>Trọng lượng</t>
  </si>
  <si>
    <t>950g</t>
  </si>
  <si>
    <t>Tiêu chuẩn chế tạo</t>
  </si>
  <si>
    <t>NFPA72</t>
  </si>
  <si>
    <t>XVII</t>
  </si>
  <si>
    <t>Máy bơm điện</t>
  </si>
  <si>
    <t>Nhà sản xuất.</t>
  </si>
  <si>
    <t>Khai báo bởi nhà thầu.</t>
  </si>
  <si>
    <t>Basic</t>
  </si>
  <si>
    <t>Nước sản xuất.</t>
  </si>
  <si>
    <t>Mã hiệu máy</t>
  </si>
  <si>
    <t>Tiêu chuẩn quản lý chất lượng sản phẩm.</t>
  </si>
  <si>
    <t>ISO 9001 hoặc tương đương</t>
  </si>
  <si>
    <t>Tiêu chuẩn áp dụng.</t>
  </si>
  <si>
    <t>IEC 60502-1, IEC 60228</t>
  </si>
  <si>
    <t>Lưu lượng (Q)</t>
  </si>
  <si>
    <r>
      <t>m</t>
    </r>
    <r>
      <rPr>
        <vertAlign val="superscript"/>
        <sz val="12"/>
        <rFont val="Times New Roman"/>
        <family val="1"/>
      </rPr>
      <t>3</t>
    </r>
    <r>
      <rPr>
        <sz val="12"/>
        <rFont val="Times New Roman"/>
        <family val="1"/>
      </rPr>
      <t>/h</t>
    </r>
  </si>
  <si>
    <t>≥ 50</t>
  </si>
  <si>
    <t>Cột áp (H)</t>
  </si>
  <si>
    <r>
      <t>mH</t>
    </r>
    <r>
      <rPr>
        <vertAlign val="subscript"/>
        <sz val="12"/>
        <rFont val="Times New Roman"/>
        <family val="1"/>
      </rPr>
      <t>2</t>
    </r>
    <r>
      <rPr>
        <sz val="12"/>
        <rFont val="Times New Roman"/>
        <family val="1"/>
      </rPr>
      <t>O</t>
    </r>
  </si>
  <si>
    <t>≥ 30</t>
  </si>
  <si>
    <t>Công suất (P)</t>
  </si>
  <si>
    <t>Hp</t>
  </si>
  <si>
    <t>XVIII</t>
  </si>
  <si>
    <t>Máy bơm DIESEL</t>
  </si>
  <si>
    <t>≥ 22</t>
  </si>
  <si>
    <t>XIX</t>
  </si>
  <si>
    <t>DÂY ĐẤU NHẢY VÀ ĐẤU NỐI SỢI QUANG</t>
  </si>
  <si>
    <t>- Nhà sản xuất/Nước sản xuất</t>
  </si>
  <si>
    <t>- Mã hiệu</t>
  </si>
  <si>
    <t>SC-LC</t>
  </si>
  <si>
    <t>- Đấu nối</t>
  </si>
  <si>
    <t>SC/APC</t>
  </si>
  <si>
    <t>- Sợi quang</t>
  </si>
  <si>
    <t>Đơn mode</t>
  </si>
  <si>
    <t>- Tổn hao do nối ngoài</t>
  </si>
  <si>
    <r>
      <rPr>
        <sz val="12"/>
        <rFont val="Symbol"/>
        <family val="1"/>
        <charset val="2"/>
      </rPr>
      <t>£</t>
    </r>
    <r>
      <rPr>
        <sz val="12"/>
        <rFont val="Times New Roman"/>
        <family val="1"/>
      </rPr>
      <t xml:space="preserve"> 0,2 dB</t>
    </r>
  </si>
  <si>
    <t>- Chiều dài tổng</t>
  </si>
  <si>
    <r>
      <rPr>
        <sz val="12"/>
        <rFont val="Symbol"/>
        <family val="1"/>
        <charset val="2"/>
      </rPr>
      <t>³</t>
    </r>
    <r>
      <rPr>
        <sz val="12"/>
        <rFont val="Times New Roman"/>
        <family val="1"/>
      </rPr>
      <t xml:space="preserve"> 10 m</t>
    </r>
  </si>
  <si>
    <t>XX</t>
  </si>
  <si>
    <t>Bảng yêu cầu về đặc tính kỹ thuật Cáp mạng CAT6</t>
  </si>
  <si>
    <t>Nhà sản xuất/Nước sản xuất</t>
  </si>
  <si>
    <t>Commscope/ Trung Quốc</t>
  </si>
  <si>
    <t>Loại dây</t>
  </si>
  <si>
    <t>Tối thiểu AMO cat6</t>
  </si>
  <si>
    <t>Tín hiệu nhận được</t>
  </si>
  <si>
    <t>70-80m</t>
  </si>
  <si>
    <t xml:space="preserve">Vỏ </t>
  </si>
  <si>
    <t xml:space="preserve">Chống cháy, chống nhiễu </t>
  </si>
  <si>
    <t>Tốc độ hỗ trợ</t>
  </si>
  <si>
    <t>Gigabit Ethernet hoặc tương đương</t>
  </si>
  <si>
    <t>XXI</t>
  </si>
  <si>
    <t>Hàng kẹp</t>
  </si>
  <si>
    <t>Phoenix contact/ Trung Quốc</t>
  </si>
  <si>
    <t>UK6N/ UK10N/ URTK/S</t>
  </si>
  <si>
    <t>XXII</t>
  </si>
  <si>
    <t>Cáp điều khiển</t>
  </si>
  <si>
    <t>Đại Long/ Việt Nam</t>
  </si>
  <si>
    <t>Tất cả các phụ kiện cần thiết đi kèm để lắp đặt hoàn chỉnh tủ (bulông, đai ốc,...)</t>
  </si>
  <si>
    <t>có</t>
  </si>
  <si>
    <t>XXIII</t>
  </si>
  <si>
    <t>Ugreen/Trung Quốc</t>
  </si>
  <si>
    <t>Kết nối từ modul của công tơ (cổng 25 chân) đến cổng RS232 của máy tính công nghiệp (cổng 9 chân)</t>
  </si>
  <si>
    <r>
      <t>- Cổng có thể chịu được nhiệt hơn 500</t>
    </r>
    <r>
      <rPr>
        <vertAlign val="superscript"/>
        <sz val="12"/>
        <rFont val="Times New Roman"/>
        <family val="1"/>
      </rPr>
      <t>0</t>
    </r>
    <r>
      <rPr>
        <sz val="12"/>
        <rFont val="Times New Roman"/>
        <family val="1"/>
      </rPr>
      <t>C trong thời gian ngắn, chống thấm nước, chống thấm khí O2,CO2, N2…, độ bền cơ học cao, dễ thao tác đấu nối</t>
    </r>
  </si>
  <si>
    <t>XXIV</t>
  </si>
  <si>
    <t>Máy tính công nghiệp</t>
  </si>
  <si>
    <t>3HXY/ Trung Quốc</t>
  </si>
  <si>
    <t>Loại:</t>
  </si>
  <si>
    <t>Máy tính để bàn Desktop</t>
  </si>
  <si>
    <t>Cấu trúc khung máy</t>
  </si>
  <si>
    <t>Khung nhôm tản nhiệt hoặc tương đương.</t>
  </si>
  <si>
    <t>Nguồn vào</t>
  </si>
  <si>
    <t>9-36VDC hoặc 110VDC</t>
  </si>
  <si>
    <t>Nguồn 12 VDC kèm adapter</t>
  </si>
  <si>
    <t>Nguồn Adapter</t>
  </si>
  <si>
    <t>Nguồn chuẩn công nghiệp. Điện áp vào từ 90 -240V DC. Hoạt động liên tục 24/7. Công suất max ≥ 60W</t>
  </si>
  <si>
    <t>CPU</t>
  </si>
  <si>
    <t>Intel ® Atom D510 1.67GHz / 1 MB L2 cache trở lên hoặc Intel® Core™ i3-4010U ULT 1.7 GHz</t>
  </si>
  <si>
    <t>Intel Core i3-5005U 2.0GHz</t>
  </si>
  <si>
    <t>Bộ nhớ RAM</t>
  </si>
  <si>
    <t>4 GB DDR3 SDRAM built-in</t>
  </si>
  <si>
    <t>4 GB DDR2 SDRAM</t>
  </si>
  <si>
    <t>Bộ nhớ lưu trữ</t>
  </si>
  <si>
    <t>Tối thiểu 128Gb, hỗ trợ khe cắm ổ SATA 2,5”</t>
  </si>
  <si>
    <t>SSD 128GB SATA 2.5”</t>
  </si>
  <si>
    <t>USB 2.0 port</t>
  </si>
  <si>
    <t>Tối thiểu 4 cổng</t>
  </si>
  <si>
    <t>Ethernet</t>
  </si>
  <si>
    <t>2x10/100/1000MGb/s RJ45 hoặc tương đương</t>
  </si>
  <si>
    <t>Cổng RS-232</t>
  </si>
  <si>
    <t>Tối thiểu 8 cổng RS232 và tối thiểu 2 x RS-232/422/485.</t>
  </si>
  <si>
    <t>Độ ẩm hoạt động</t>
  </si>
  <si>
    <r>
      <t>Hoạt động tốt trong môi trường độ ẩm 10~85%, 60</t>
    </r>
    <r>
      <rPr>
        <vertAlign val="superscript"/>
        <sz val="13"/>
        <rFont val="Times New Roman"/>
        <family val="1"/>
      </rPr>
      <t>0</t>
    </r>
    <r>
      <rPr>
        <sz val="13"/>
        <rFont val="Times New Roman"/>
        <family val="1"/>
      </rPr>
      <t>C, không ngưng đọng nước</t>
    </r>
  </si>
  <si>
    <t>Rung tải</t>
  </si>
  <si>
    <t>1Grms, theo tiêu chuẩn IEC 60068-2-64, random, 5~500Hz, 1 Oct./min, 1hr/axis hoặc tương đương</t>
  </si>
  <si>
    <t>Tản nhiệt</t>
  </si>
  <si>
    <r>
      <t>-  Hoạt động tốt trong khoảng 0~70</t>
    </r>
    <r>
      <rPr>
        <vertAlign val="superscript"/>
        <sz val="13"/>
        <rFont val="Times New Roman"/>
        <family val="1"/>
      </rPr>
      <t>0</t>
    </r>
    <r>
      <rPr>
        <sz val="13"/>
        <rFont val="Times New Roman"/>
        <family val="1"/>
      </rPr>
      <t>C, Ổ cứng lưu trữ hoạt động tốt trong khoảng 0~90</t>
    </r>
    <r>
      <rPr>
        <vertAlign val="superscript"/>
        <sz val="13"/>
        <rFont val="Times New Roman"/>
        <family val="1"/>
      </rPr>
      <t>0</t>
    </r>
    <r>
      <rPr>
        <sz val="13"/>
        <rFont val="Times New Roman"/>
        <family val="1"/>
      </rPr>
      <t>C.</t>
    </r>
  </si>
  <si>
    <t>-  Có hệ thống tản nhiệt bằng vỏ máy.</t>
  </si>
  <si>
    <t>Độ ồn khi hoạt động ~0dB</t>
  </si>
  <si>
    <t>Hệ điều hành (bao gồm bản quyền phần mềm)</t>
  </si>
  <si>
    <t>Tối thiểu Windows 10 pro, có bản quyền để Join AD khi cần thiết.</t>
  </si>
  <si>
    <t>Bộ đếm thời gian</t>
  </si>
  <si>
    <t>Programmable 256 level timer interval, from 1 to 255 sec.</t>
  </si>
  <si>
    <t>Phần mềm đọc</t>
  </si>
  <si>
    <t>-  Phần mềm đọc công tơ tại máy tính công nghiệp.</t>
  </si>
  <si>
    <t>-  Phần mềm phân tích các chỉ số công tơ và đồng bộ về EVNSPC theo các giao thức TCP/IP, FPT, SFTP….,</t>
  </si>
  <si>
    <t>Phần mềm giám sát hệ thống đo đếm tại trạm.</t>
  </si>
  <si>
    <t>XXV</t>
  </si>
  <si>
    <t xml:space="preserve"> Thiết bị Ethernet Switch</t>
  </si>
  <si>
    <t>SICOM3024P-4GX8SFP16T-HV-HV</t>
  </si>
  <si>
    <t>- Giao diện quản lý thiết bị:</t>
  </si>
  <si>
    <t>Ethernet RJ-45</t>
  </si>
  <si>
    <t>2.1</t>
  </si>
  <si>
    <t>Yêu cầu chung</t>
  </si>
  <si>
    <r>
      <t xml:space="preserve">- </t>
    </r>
    <r>
      <rPr>
        <sz val="14"/>
        <rFont val="Times New Roman"/>
        <family val="1"/>
      </rPr>
      <t>Tiêu chuẩn:</t>
    </r>
  </si>
  <si>
    <r>
      <t>ü</t>
    </r>
    <r>
      <rPr>
        <sz val="7"/>
        <rFont val="Times New Roman"/>
        <family val="1"/>
      </rPr>
      <t xml:space="preserve"> </t>
    </r>
    <r>
      <rPr>
        <sz val="14"/>
        <rFont val="Times New Roman"/>
        <family val="1"/>
      </rPr>
      <t>Đáp ứng chuẩn IEEE: 802.3z; 802.3ab; 802.3u; 802.1w; 802.1D, 802.1p, 802.1Q, 802.1 AB, 802.1s, 802.3ad, 802.3x.</t>
    </r>
  </si>
  <si>
    <r>
      <t>ü</t>
    </r>
    <r>
      <rPr>
        <sz val="7"/>
        <rFont val="Times New Roman"/>
        <family val="1"/>
      </rPr>
      <t xml:space="preserve"> </t>
    </r>
    <r>
      <rPr>
        <sz val="14"/>
        <rFont val="Times New Roman"/>
        <family val="1"/>
      </rPr>
      <t>Đáp ứng theo tiêu chuẩn IEEE1613, IEC 61850-3, làm việc được trong môi trường TBA 110kV hoặc làm việc được trong môi trường có nguồn năng lượng phát xạ điện từ.</t>
    </r>
  </si>
  <si>
    <r>
      <t>ü</t>
    </r>
    <r>
      <rPr>
        <sz val="7"/>
        <rFont val="Times New Roman"/>
        <family val="1"/>
      </rPr>
      <t xml:space="preserve"> </t>
    </r>
    <r>
      <rPr>
        <sz val="14"/>
        <rFont val="Times New Roman"/>
        <family val="1"/>
      </rPr>
      <t>Có chứng nhận KEMA hoặc của tổ chức quốc tế test theo tiêu  chuẩn  IEEE1613 và IEC61850.</t>
    </r>
  </si>
  <si>
    <t>- Giao thức Ring</t>
  </si>
  <si>
    <t>STP/RSTP và hỗ trợ recovery time &lt;20ms</t>
  </si>
  <si>
    <r>
      <t xml:space="preserve">- </t>
    </r>
    <r>
      <rPr>
        <sz val="14"/>
        <rFont val="Times New Roman"/>
        <family val="1"/>
      </rPr>
      <t>Hỗ trợ cấu hình Web:</t>
    </r>
  </si>
  <si>
    <r>
      <t xml:space="preserve">- </t>
    </r>
    <r>
      <rPr>
        <sz val="14"/>
        <rFont val="Times New Roman"/>
        <family val="1"/>
      </rPr>
      <t>Nhiệt độ làm việc:</t>
    </r>
  </si>
  <si>
    <t>0℃ ~ +70℃</t>
  </si>
  <si>
    <t>- Nguồn cung cấp: cấp từ hệ thống Nguồn điện tự dùng DC tại trạm</t>
  </si>
  <si>
    <r>
      <t>ü</t>
    </r>
    <r>
      <rPr>
        <sz val="7"/>
        <rFont val="Times New Roman"/>
        <family val="1"/>
      </rPr>
      <t xml:space="preserve"> </t>
    </r>
    <r>
      <rPr>
        <sz val="14"/>
        <rFont val="Times New Roman"/>
        <family val="1"/>
      </rPr>
      <t>Số lượng cổng cấp nguồn: 2 nguồn hoạt động dự phòng 1:1</t>
    </r>
  </si>
  <si>
    <r>
      <t>ü</t>
    </r>
    <r>
      <rPr>
        <sz val="7"/>
        <rFont val="Times New Roman"/>
        <family val="1"/>
      </rPr>
      <t xml:space="preserve"> </t>
    </r>
    <r>
      <rPr>
        <sz val="14"/>
        <rFont val="Times New Roman"/>
        <family val="1"/>
      </rPr>
      <t>Mức điện áp: 110VDC ±20%</t>
    </r>
  </si>
  <si>
    <t>- Cam kết không chứa mã độc từ nhà sản xuất.</t>
  </si>
  <si>
    <t>Phụ kiện</t>
  </si>
  <si>
    <t>Trọn bộ phụ kiện, phần mềm cấu hình, cáp kết nối, cáp nguồn đầu nối kèm theo,..</t>
  </si>
  <si>
    <t>2.2</t>
  </si>
  <si>
    <t>Đối với Switch Access</t>
  </si>
  <si>
    <r>
      <t xml:space="preserve">- </t>
    </r>
    <r>
      <rPr>
        <sz val="14"/>
        <rFont val="Times New Roman"/>
        <family val="1"/>
      </rPr>
      <t>Đối với swicth Access tại trạm hiện hữu</t>
    </r>
  </si>
  <si>
    <r>
      <t>ü</t>
    </r>
    <r>
      <rPr>
        <sz val="7"/>
        <rFont val="Times New Roman"/>
        <family val="1"/>
      </rPr>
      <t xml:space="preserve"> </t>
    </r>
    <r>
      <rPr>
        <sz val="14"/>
        <rFont val="Times New Roman"/>
        <family val="1"/>
      </rPr>
      <t>Theo nhu cầu thực tế và có dự phòng tối thiểu 20% số cổng.</t>
    </r>
  </si>
  <si>
    <r>
      <t>ü</t>
    </r>
    <r>
      <rPr>
        <sz val="7"/>
        <rFont val="Times New Roman"/>
        <family val="1"/>
      </rPr>
      <t xml:space="preserve"> </t>
    </r>
    <r>
      <rPr>
        <sz val="14"/>
        <rFont val="Times New Roman"/>
        <family val="1"/>
      </rPr>
      <t>Switch hỗ các cổng giao diện như sau : card giao diện có thể thay đổi quang /điện theo người dùng.</t>
    </r>
  </si>
  <si>
    <r>
      <t>ü</t>
    </r>
    <r>
      <rPr>
        <sz val="7"/>
        <rFont val="Times New Roman"/>
        <family val="1"/>
      </rPr>
      <t xml:space="preserve"> </t>
    </r>
    <r>
      <rPr>
        <sz val="14"/>
        <rFont val="Times New Roman"/>
        <family val="1"/>
      </rPr>
      <t>Số cổng tối thiểu:</t>
    </r>
  </si>
  <si>
    <r>
      <t>-</t>
    </r>
    <r>
      <rPr>
        <sz val="7"/>
        <rFont val="Times New Roman"/>
        <family val="1"/>
      </rPr>
      <t xml:space="preserve">    </t>
    </r>
    <r>
      <rPr>
        <sz val="14"/>
        <rFont val="Times New Roman"/>
        <family val="1"/>
      </rPr>
      <t>≥ 16 port 10/100BaseT</t>
    </r>
  </si>
  <si>
    <t>- ≥ 08 port 10/100Base- Fx(SFP)</t>
  </si>
  <si>
    <r>
      <t>-</t>
    </r>
    <r>
      <rPr>
        <sz val="7"/>
        <rFont val="Times New Roman"/>
        <family val="1"/>
      </rPr>
      <t xml:space="preserve">    </t>
    </r>
    <r>
      <rPr>
        <sz val="14"/>
        <rFont val="Times New Roman"/>
        <family val="1"/>
      </rPr>
      <t>≥ 04 Dual port 1000BaseT- BaseSx/Lx/Zx (SFP)</t>
    </r>
  </si>
  <si>
    <t>- 04  SFP  100/1000Mbps  –</t>
  </si>
  <si>
    <t>duplex LC – 850/1310nm – multimode</t>
  </si>
  <si>
    <r>
      <t xml:space="preserve">- </t>
    </r>
    <r>
      <rPr>
        <sz val="14"/>
        <rFont val="Times New Roman"/>
        <family val="1"/>
      </rPr>
      <t>Đối với swicth Access tại trạm đầu tư mới:</t>
    </r>
  </si>
  <si>
    <r>
      <t>ü</t>
    </r>
    <r>
      <rPr>
        <sz val="7"/>
        <rFont val="Times New Roman"/>
        <family val="1"/>
      </rPr>
      <t xml:space="preserve"> </t>
    </r>
    <r>
      <rPr>
        <sz val="14"/>
        <rFont val="Times New Roman"/>
        <family val="1"/>
      </rPr>
      <t>Theo nhu cầu thực tế và có dự phòng tối thiểu 20% số cổng</t>
    </r>
  </si>
  <si>
    <t>Số cổng tối thiểu:</t>
  </si>
  <si>
    <r>
      <t>-</t>
    </r>
    <r>
      <rPr>
        <sz val="7"/>
        <rFont val="Times New Roman"/>
        <family val="1"/>
      </rPr>
      <t xml:space="preserve">    </t>
    </r>
    <r>
      <rPr>
        <sz val="14"/>
        <rFont val="Times New Roman"/>
        <family val="1"/>
      </rPr>
      <t>≥ 06 port 10/100BaseT</t>
    </r>
  </si>
  <si>
    <r>
      <t>-</t>
    </r>
    <r>
      <rPr>
        <sz val="7"/>
        <rFont val="Times New Roman"/>
        <family val="1"/>
      </rPr>
      <t xml:space="preserve">    </t>
    </r>
    <r>
      <rPr>
        <sz val="14"/>
        <rFont val="Times New Roman"/>
        <family val="1"/>
      </rPr>
      <t>≥ 16 x port /100BaseFx-Sx</t>
    </r>
  </si>
  <si>
    <r>
      <t>-</t>
    </r>
    <r>
      <rPr>
        <sz val="7"/>
        <rFont val="Times New Roman"/>
        <family val="1"/>
      </rPr>
      <t xml:space="preserve">    </t>
    </r>
    <r>
      <rPr>
        <sz val="14"/>
        <rFont val="Times New Roman"/>
        <family val="1"/>
      </rPr>
      <t>16 SFP 100Mbps – duplex LC – 850/1310nm – multimode</t>
    </r>
  </si>
  <si>
    <r>
      <t>-</t>
    </r>
    <r>
      <rPr>
        <sz val="7"/>
        <rFont val="Times New Roman"/>
        <family val="1"/>
      </rPr>
      <t xml:space="preserve">    </t>
    </r>
    <r>
      <rPr>
        <sz val="14"/>
        <rFont val="Times New Roman"/>
        <family val="1"/>
      </rPr>
      <t>≥ 4x Dual port 1000BaseT- BaseSx Lx/Zx(SFP)</t>
    </r>
  </si>
  <si>
    <r>
      <t>-</t>
    </r>
    <r>
      <rPr>
        <sz val="7"/>
        <rFont val="Times New Roman"/>
        <family val="1"/>
      </rPr>
      <t xml:space="preserve">    </t>
    </r>
    <r>
      <rPr>
        <sz val="14"/>
        <rFont val="Times New Roman"/>
        <family val="1"/>
      </rPr>
      <t>04 SFP 1000Mbps – duplex LC – 850/1310nm – multimode</t>
    </r>
  </si>
  <si>
    <t>Hỗ trợ cấu hình Web:</t>
  </si>
  <si>
    <t>Nhiệt độ làm việc:</t>
  </si>
  <si>
    <t>Nguồn cung cấp:</t>
  </si>
  <si>
    <r>
      <t>-</t>
    </r>
    <r>
      <rPr>
        <sz val="7"/>
        <rFont val="Times New Roman"/>
        <family val="1"/>
      </rPr>
      <t xml:space="preserve">    </t>
    </r>
    <r>
      <rPr>
        <sz val="13"/>
        <rFont val="Times New Roman"/>
        <family val="1"/>
      </rPr>
      <t>Số lượng cổng cấp nguồn: 2 nguồn hoạt động dự phòng 1:1</t>
    </r>
  </si>
  <si>
    <r>
      <t>-</t>
    </r>
    <r>
      <rPr>
        <sz val="7"/>
        <rFont val="Times New Roman"/>
        <family val="1"/>
      </rPr>
      <t xml:space="preserve">    </t>
    </r>
    <r>
      <rPr>
        <sz val="13"/>
        <rFont val="Times New Roman"/>
        <family val="1"/>
      </rPr>
      <t>Mức điện áp: 110VDC ±20%</t>
    </r>
  </si>
  <si>
    <t>Đảm bảo không có mã độc</t>
  </si>
  <si>
    <t>Nhà sản xuất phải có cam kết không có mã độc.</t>
  </si>
  <si>
    <t>Tính năng bảo mật</t>
  </si>
  <si>
    <r>
      <t>-</t>
    </r>
    <r>
      <rPr>
        <sz val="7"/>
        <rFont val="Times New Roman"/>
        <family val="1"/>
      </rPr>
      <t xml:space="preserve">    </t>
    </r>
    <r>
      <rPr>
        <sz val="13"/>
        <rFont val="Times New Roman"/>
        <family val="1"/>
      </rPr>
      <t>IP source guard, DHCP snooping, ARP spoofing (hoặc ARP inspection)</t>
    </r>
  </si>
  <si>
    <r>
      <t>-</t>
    </r>
    <r>
      <rPr>
        <sz val="7"/>
        <rFont val="Times New Roman"/>
        <family val="1"/>
      </rPr>
      <t xml:space="preserve">    </t>
    </r>
    <r>
      <rPr>
        <sz val="13"/>
        <rFont val="Times New Roman"/>
        <family val="1"/>
      </rPr>
      <t>802.1x, RADIUS, TACACS+, Access Control List, Storm Control (hoặc Storm protection)</t>
    </r>
  </si>
  <si>
    <t>Trọn bộ phụ kiện, cáp kết nối, cáp nguồn đầu nối kèm theo</t>
  </si>
  <si>
    <t>XXVI</t>
  </si>
  <si>
    <t>Camera cố định trong nhà</t>
  </si>
  <si>
    <t>A</t>
  </si>
  <si>
    <t>DS-2CD2123G2-LIS2U</t>
  </si>
  <si>
    <t>Hikvision</t>
  </si>
  <si>
    <t>Chứng nhận CQ hoặc Chứng nhận xuất xưởng</t>
  </si>
  <si>
    <t>24 tháng kể từ khi ký biên bản nghiệm thu và đưa vào sử dụng.</t>
  </si>
  <si>
    <t>Các yêu cầu kỹ thuật chung trình bày trong phần I và III</t>
  </si>
  <si>
    <t>B</t>
  </si>
  <si>
    <t>Yêu cầu kỹ thuật chi tiết</t>
  </si>
  <si>
    <t>Cảm biến hình ảnh</t>
  </si>
  <si>
    <t>≥ 1/ 2.8’’2 Megapixel CMOS</t>
  </si>
  <si>
    <t>Độ nhạy sáng</t>
  </si>
  <si>
    <t>≤ 0.1Lux</t>
  </si>
  <si>
    <t>Tích hợp hồng ngoại</t>
  </si>
  <si>
    <t>Đáp ứng
(trên cơ sở thiết kế cụ thể Đơn vị tự quy định khoảng cách cụ thể)</t>
  </si>
  <si>
    <t>Chuẩn nén</t>
  </si>
  <si>
    <t>Hỗ trợ H264 hoặc cao hơn</t>
  </si>
  <si>
    <t>Độ phân giải</t>
  </si>
  <si>
    <t>≥ 1920*1080</t>
  </si>
  <si>
    <t>Tốc độ khung hình</t>
  </si>
  <si>
    <t>≥ 25fps</t>
  </si>
  <si>
    <t>RJ-45 (10/100Base-T)</t>
  </si>
  <si>
    <t>Giao thức</t>
  </si>
  <si>
    <t>IPv4/IPv6, HTTP, TCP/IP, IGMP, RTSP, RTP, SMTP, NTP, DHCP</t>
  </si>
  <si>
    <t>ONVIF</t>
  </si>
  <si>
    <t>Nguồn cung cấp</t>
  </si>
  <si>
    <t>Hỗ trợ PoE</t>
  </si>
  <si>
    <t>Tiêu chuẩn bảo vệ</t>
  </si>
  <si>
    <t>≥ IP66</t>
  </si>
  <si>
    <t>Nhiệt độ hoạt động</t>
  </si>
  <si>
    <t>Tối thiểu ≤ 0º</t>
  </si>
  <si>
    <t>Tối đa ≥ 50º</t>
  </si>
  <si>
    <t>Tối thiểu ≤ 10%</t>
  </si>
  <si>
    <t>Tối đa ≥ 85%</t>
  </si>
  <si>
    <t>Phát hiện xâm nhập vùng cấm</t>
  </si>
  <si>
    <t>Có sẵn</t>
  </si>
  <si>
    <t>Phụ kiện đấu nối, bộ chuyển đổi nguồn đấu nối với nguồn tại trạm, phụ kiện treo gá …</t>
  </si>
  <si>
    <t>Đáp ứng đầy đủ</t>
  </si>
  <si>
    <t>XXVII</t>
  </si>
  <si>
    <t>Hệ thống kiểm soát cửa ra vào tại TBA</t>
  </si>
  <si>
    <t>XXVIII</t>
  </si>
  <si>
    <t>Bộ điều khiển trung tâm</t>
  </si>
  <si>
    <t>Nguồn điện cung cấp</t>
  </si>
  <si>
    <t>Tuỳ chọn</t>
  </si>
  <si>
    <t>Cổng giao tiếp kết nối</t>
  </si>
  <si>
    <t>TCP/IP; RS-485</t>
  </si>
  <si>
    <t>Tối thiểu ≤ 0°C</t>
  </si>
  <si>
    <t>Tối đa ≥ 50°C</t>
  </si>
  <si>
    <t>Độ ẩm làm việc</t>
  </si>
  <si>
    <t>Nút nhấn mở cửa</t>
  </si>
  <si>
    <t>Tối thiểu 4</t>
  </si>
  <si>
    <t>Điều khiển mở cửa</t>
  </si>
  <si>
    <t>Cổng giao tiếp đầu đọc</t>
  </si>
  <si>
    <t>Wiegand, RS485</t>
  </si>
  <si>
    <t>Lưu trữ giao dịch</t>
  </si>
  <si>
    <t>≥10.000 giao dịch</t>
  </si>
  <si>
    <t>Đầu đọc chính</t>
  </si>
  <si>
    <t>Tần số</t>
  </si>
  <si>
    <t>125KHZ hoặc 13.56MHZ</t>
  </si>
  <si>
    <t>Khoảng cách đọc</t>
  </si>
  <si>
    <t>125KHZ: Tối đa đạt 15cm hoặc cao hơn</t>
  </si>
  <si>
    <t>13.56MHZ: Tối đa đạt 5cm hoặc cao hơn</t>
  </si>
  <si>
    <t>Nguồn điện</t>
  </si>
  <si>
    <t>Trong dải 9-16VDC</t>
  </si>
  <si>
    <t>Công giao tiếp</t>
  </si>
  <si>
    <t>RS485</t>
  </si>
  <si>
    <t>Chuẩn bảo vệ</t>
  </si>
  <si>
    <t>≥ IP55</t>
  </si>
  <si>
    <t>Bàn phím</t>
  </si>
  <si>
    <t>Cổng đọc phụ</t>
  </si>
  <si>
    <t>Wiegand</t>
  </si>
  <si>
    <t>XXX</t>
  </si>
  <si>
    <t>Đầu đọc phụ</t>
  </si>
  <si>
    <t>125KHZ: Tối đa đạt 12cm hoặc cao hơn</t>
  </si>
  <si>
    <t>Giao tiếp</t>
  </si>
  <si>
    <t>Không</t>
  </si>
  <si>
    <t>XXXI</t>
  </si>
  <si>
    <t>Khóa điện</t>
  </si>
  <si>
    <t>Khả năng chịu lực tối đa</t>
  </si>
  <si>
    <t>300kg</t>
  </si>
  <si>
    <t>Thích hợp cho các loại cửa</t>
  </si>
  <si>
    <t>Kiếng, gỗ, kim loại, cửa chống cháy</t>
  </si>
  <si>
    <t>Trong dải 12-24VDC</t>
  </si>
  <si>
    <t>XXXII</t>
  </si>
  <si>
    <t>Hộp thoát khẩn</t>
  </si>
  <si>
    <t>Dùng cho cửa ra hoặc cửa thoát hiểm</t>
  </si>
  <si>
    <t>Làm bằng vật liệu chống cháy</t>
  </si>
  <si>
    <t>XXXV</t>
  </si>
  <si>
    <t>Bảng tiêu chí đánh giá cốt thép cho bê tông</t>
  </si>
  <si>
    <t>Nhà sản xuất /Nước sản xuất</t>
  </si>
  <si>
    <t>Hòa Phát; Miền Nam/ Việt Nam</t>
  </si>
  <si>
    <t>TCVN1651-1: 2018
TCVN1651-2: 2018</t>
  </si>
  <si>
    <t>Chủng loại thép xây dựng</t>
  </si>
  <si>
    <t>Theo thiết kế</t>
  </si>
  <si>
    <t>Đáp ứng các yêu cầu của Đơn vị thiết kế.</t>
  </si>
  <si>
    <t>Kiểm tra và thử nghiệm</t>
  </si>
  <si>
    <t>TCVN 197: 1985 “Kim loại phương pháp thử kéo” và TCVN 198: 1985 “Kim loại phương pháp thử uốn”</t>
  </si>
  <si>
    <t>XXXVI</t>
  </si>
  <si>
    <t>Bảng tiêu chí đánh giá xi măng</t>
  </si>
  <si>
    <t>Nhà sản xuất (uy tín và có giấy chứng nhận hợp chuẩn quốc gia)</t>
  </si>
  <si>
    <t>Nhà thầu tự khai báo</t>
  </si>
  <si>
    <t>Xi măng Hà Tiên/ Việt Nam hoặc tương đương</t>
  </si>
  <si>
    <t>TCVN2682: 2008
TCVN 4787:2001
TCVN 4030:2003</t>
  </si>
  <si>
    <t>ISO9001 hoặc tương đương</t>
  </si>
  <si>
    <t>Loại xi măng</t>
  </si>
  <si>
    <t>Póoc lăng</t>
  </si>
  <si>
    <t>Mác Xi măng</t>
  </si>
  <si>
    <t>PCB40</t>
  </si>
  <si>
    <t>Thời hạn lưu kho xi măng</t>
  </si>
  <si>
    <t>&lt; 3 tháng</t>
  </si>
  <si>
    <t>TCVN 6017:1995
TCVN 6016:1995
TCVN 141:1998</t>
  </si>
  <si>
    <t>XXXVII</t>
  </si>
  <si>
    <t>Bảng tiêu chí đánh giá Đá (sỏi) xây dựng (cốt liệu cho bê tông và vữa)</t>
  </si>
  <si>
    <t>Nhà sản xuất /Nguồn cung cấp</t>
  </si>
  <si>
    <t>Lấy tại địa phương</t>
  </si>
  <si>
    <t>TCVN 7570: 2006</t>
  </si>
  <si>
    <t>Loại đá</t>
  </si>
  <si>
    <t>Cỡ đá</t>
  </si>
  <si>
    <t>TCVN7572: 2006</t>
  </si>
  <si>
    <t>XXXVIII</t>
  </si>
  <si>
    <t>Bảng tiêu chí đánh giá nước sử dụng trộn bê tông, vữa và bảo dưỡng bê tông</t>
  </si>
  <si>
    <t>TCVN4506:2012</t>
  </si>
  <si>
    <t>Nước trộn bê tông và bảo dưỡng bê tông</t>
  </si>
  <si>
    <t>Nước sạch uống được, không có dầu, chất kiềm và các chất hữu cơ có hại</t>
  </si>
  <si>
    <t>Đính kèm theo Hợp đồng số: 130426/HĐXL/THIFACO-TSM ngày 13/04/2026</t>
  </si>
  <si>
    <t>THÔNG SỐ KỸ THUẬT THIẾT BỊ ĐÍNH KÈM HỢP ĐỒNG</t>
  </si>
  <si>
    <t>Cáp đồng bọc PVC, có vỏ bọc đồng chống nhiễu 0,6/1kV - Cu/Fr-PVC/S/Fr-PVC – 2Cx2,5mm² (nhân công)</t>
  </si>
  <si>
    <t>Cáp đồng bọc PVC, có vỏ bọc đồng chống nhiễu 0,6/1kV - Cu/Fr-PVC/S/Fr-PVC – 2Cx1,5mm² (nhân công)</t>
  </si>
  <si>
    <t>Đơn giá nhân công</t>
  </si>
  <si>
    <t>TSM/ Việt Nam</t>
  </si>
  <si>
    <t>(Bằng chữ: Một tỷ, ba trăm bảy mươi bốn triệu, bảy trăm chín mươi sáu nghìn, ba trăm mười bốn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</si>
</sst>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_-;\-* #,##0.00\ _₫_-;_-* &quot;-&quot;??\ _₫_-;_-@_-"/>
    <numFmt numFmtId="165" formatCode="_(* #,##0.00_);_(* \(#,##0.00\);_(* &quot;-&quot;??_);_(@_)"/>
    <numFmt numFmtId="166" formatCode="_-* #,##0\ _₫_-;\-* #,##0\ _₫_-;_-* &quot;-&quot;??\ _₫_-;_-@_-"/>
    <numFmt numFmtId="167" formatCode="_(* #,##0_);_(* \(#,##0\);_(* &quot;-&quot;??_);_(@_)"/>
    <numFmt numFmtId="168" formatCode="_(* #,##0_);_(* \(#,##0\);_(* &quot;-&quot;_);_(@_)"/>
    <numFmt numFmtId="169" formatCode="##,###.0"/>
    <numFmt numFmtId="170" formatCode="#,##0.0"/>
  </numFmts>
  <fonts count="31">
    <font>
      <sz val="11"/>
      <color theme="1"/>
      <name val="Calibri"/>
      <family val="2"/>
      <scheme val="minor"/>
    </font>
    <font>
      <b/>
      <sz val="14"/>
      <color rgb="FF000000"/>
      <name val="Times New Roman"/>
      <family val="1"/>
    </font>
    <font>
      <b/>
      <sz val="12"/>
      <color rgb="FF000000"/>
      <name val="Times New Roman"/>
      <family val="1"/>
    </font>
    <font>
      <sz val="12"/>
      <color rgb="FF000000"/>
      <name val="Times New Roman"/>
      <family val="1"/>
    </font>
    <font>
      <sz val="11"/>
      <color theme="1"/>
      <name val="Calibri"/>
      <family val="2"/>
      <scheme val="minor"/>
    </font>
    <font>
      <b/>
      <sz val="12"/>
      <color rgb="FF000000"/>
      <name val="Times New Roman"/>
      <family val="1"/>
    </font>
    <font>
      <sz val="12"/>
      <name val="Times New Roman"/>
      <family val="1"/>
    </font>
    <font>
      <sz val="11"/>
      <color theme="1"/>
      <name val="Calibri"/>
      <family val="2"/>
      <charset val="163"/>
      <scheme val="minor"/>
    </font>
    <font>
      <i/>
      <sz val="12"/>
      <color rgb="FF000000"/>
      <name val="Times New Roman"/>
      <family val="1"/>
    </font>
    <font>
      <sz val="11"/>
      <name val="Calibri"/>
      <family val="2"/>
      <scheme val="minor"/>
    </font>
    <font>
      <b/>
      <sz val="12"/>
      <name val="Times New Roman"/>
      <family val="1"/>
    </font>
    <font>
      <b/>
      <sz val="11"/>
      <color theme="1"/>
      <name val="Calibri"/>
      <family val="2"/>
      <scheme val="minor"/>
    </font>
    <font>
      <b/>
      <sz val="14"/>
      <color theme="1"/>
      <name val="Times New Roman"/>
      <family val="1"/>
    </font>
    <font>
      <b/>
      <i/>
      <sz val="14"/>
      <color rgb="FF000000"/>
      <name val="Times New Roman"/>
      <family val="1"/>
    </font>
    <font>
      <b/>
      <sz val="16"/>
      <color rgb="FF000000"/>
      <name val="Times New Roman"/>
      <family val="1"/>
    </font>
    <font>
      <sz val="10"/>
      <name val="Times New Roman"/>
      <family val="1"/>
    </font>
    <font>
      <b/>
      <i/>
      <sz val="13"/>
      <name val="Times New Roman"/>
      <family val="1"/>
    </font>
    <font>
      <b/>
      <i/>
      <sz val="14"/>
      <color rgb="FFFF0000"/>
      <name val="Times New Roman"/>
      <family val="1"/>
    </font>
    <font>
      <sz val="13"/>
      <name val="Times New Roman"/>
      <family val="1"/>
    </font>
    <font>
      <sz val="12"/>
      <color theme="1"/>
      <name val="Cambria"/>
      <family val="1"/>
      <scheme val="major"/>
    </font>
    <font>
      <b/>
      <sz val="13"/>
      <name val="Times New Roman"/>
      <family val="1"/>
    </font>
    <font>
      <sz val="12"/>
      <name val="Symbol"/>
      <family val="1"/>
      <charset val="2"/>
    </font>
    <font>
      <sz val="13"/>
      <name val="Symbol"/>
      <family val="1"/>
      <charset val="2"/>
    </font>
    <font>
      <vertAlign val="subscript"/>
      <sz val="12"/>
      <name val="Times New Roman"/>
      <family val="1"/>
    </font>
    <font>
      <vertAlign val="superscript"/>
      <sz val="13"/>
      <name val="Times New Roman"/>
      <family val="1"/>
    </font>
    <font>
      <vertAlign val="superscript"/>
      <sz val="12"/>
      <name val="Times New Roman"/>
      <family val="1"/>
    </font>
    <font>
      <sz val="12"/>
      <name val="Times New Roman"/>
      <family val="1"/>
      <charset val="2"/>
    </font>
    <font>
      <sz val="14"/>
      <name val="Times New Roman"/>
      <family val="1"/>
    </font>
    <font>
      <b/>
      <sz val="14"/>
      <name val="Times New Roman"/>
      <family val="1"/>
    </font>
    <font>
      <sz val="12"/>
      <name val="Wingdings"/>
      <charset val="2"/>
    </font>
    <font>
      <sz val="7"/>
      <name val="Times New Roman"/>
      <family val="1"/>
    </font>
  </fonts>
  <fills count="5">
    <fill>
      <patternFill patternType="none"/>
    </fill>
    <fill>
      <patternFill patternType="gray125"/>
    </fill>
    <fill>
      <patternFill patternType="solid">
        <fgColor rgb="FFEEEEEE"/>
        <bgColor auto="1"/>
      </patternFill>
    </fill>
    <fill>
      <patternFill patternType="solid">
        <fgColor indexed="9"/>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auto="1"/>
      </top>
      <bottom style="thin">
        <color auto="1"/>
      </bottom>
      <diagonal/>
    </border>
  </borders>
  <cellStyleXfs count="5">
    <xf numFmtId="0" fontId="0" fillId="0" borderId="0"/>
    <xf numFmtId="164" fontId="7" fillId="0" borderId="0" applyFont="0" applyFill="0" applyBorder="0" applyAlignment="0" applyProtection="0"/>
    <xf numFmtId="0" fontId="9" fillId="0" borderId="0"/>
    <xf numFmtId="165" fontId="4" fillId="0" borderId="0" applyFont="0" applyFill="0" applyBorder="0" applyAlignment="0" applyProtection="0"/>
    <xf numFmtId="9" fontId="4" fillId="0" borderId="0" applyFont="0" applyFill="0" applyBorder="0" applyAlignment="0" applyProtection="0"/>
  </cellStyleXfs>
  <cellXfs count="165">
    <xf numFmtId="0" fontId="0" fillId="0" borderId="0" xfId="0"/>
    <xf numFmtId="0" fontId="2" fillId="2" borderId="1" xfId="0"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vertical="center"/>
    </xf>
    <xf numFmtId="0" fontId="0" fillId="0" borderId="0" xfId="0" applyAlignment="1">
      <alignment vertical="center" wrapText="1"/>
    </xf>
    <xf numFmtId="0" fontId="0" fillId="0" borderId="0" xfId="0" applyAlignment="1">
      <alignment horizontal="center" vertical="center"/>
    </xf>
    <xf numFmtId="167" fontId="0" fillId="0" borderId="0" xfId="3" applyNumberFormat="1" applyFont="1" applyAlignment="1">
      <alignment vertical="center"/>
    </xf>
    <xf numFmtId="0" fontId="2" fillId="0" borderId="1" xfId="0" applyFont="1" applyBorder="1" applyAlignment="1">
      <alignment horizontal="center" vertical="center"/>
    </xf>
    <xf numFmtId="0" fontId="11" fillId="0" borderId="1" xfId="0" applyFont="1" applyBorder="1" applyAlignment="1">
      <alignment vertical="center"/>
    </xf>
    <xf numFmtId="0" fontId="11" fillId="0" borderId="0" xfId="0" applyFont="1" applyAlignment="1">
      <alignment vertical="center"/>
    </xf>
    <xf numFmtId="167" fontId="0" fillId="0" borderId="0" xfId="0" applyNumberFormat="1" applyAlignment="1">
      <alignment vertical="center"/>
    </xf>
    <xf numFmtId="167" fontId="11" fillId="0" borderId="0" xfId="3" applyNumberFormat="1" applyFont="1" applyAlignment="1">
      <alignment vertical="center"/>
    </xf>
    <xf numFmtId="0" fontId="12" fillId="0" borderId="0" xfId="0" applyFont="1" applyAlignment="1">
      <alignment horizontal="center" vertical="center"/>
    </xf>
    <xf numFmtId="10" fontId="11" fillId="0" borderId="0" xfId="4" applyNumberFormat="1" applyFont="1" applyAlignment="1">
      <alignment vertical="center"/>
    </xf>
    <xf numFmtId="166" fontId="0" fillId="0" borderId="0" xfId="0" applyNumberFormat="1" applyAlignment="1">
      <alignment vertical="center"/>
    </xf>
    <xf numFmtId="0" fontId="1" fillId="0" borderId="0" xfId="0" applyFont="1" applyAlignment="1">
      <alignment vertical="center" wrapText="1"/>
    </xf>
    <xf numFmtId="167" fontId="0" fillId="0" borderId="0" xfId="3" applyNumberFormat="1" applyFont="1" applyFill="1" applyAlignment="1">
      <alignment vertical="center"/>
    </xf>
    <xf numFmtId="3" fontId="10" fillId="0" borderId="1" xfId="3" applyNumberFormat="1" applyFont="1" applyFill="1" applyBorder="1" applyAlignment="1">
      <alignment horizontal="right" vertical="center" wrapText="1"/>
    </xf>
    <xf numFmtId="3" fontId="10" fillId="0" borderId="1" xfId="0" applyNumberFormat="1" applyFont="1" applyBorder="1" applyAlignment="1">
      <alignment horizontal="center" vertical="center" wrapText="1"/>
    </xf>
    <xf numFmtId="4" fontId="15" fillId="3" borderId="1" xfId="0" applyNumberFormat="1" applyFont="1" applyFill="1" applyBorder="1" applyAlignment="1">
      <alignment horizontal="center" vertical="center" wrapText="1"/>
    </xf>
    <xf numFmtId="3" fontId="15" fillId="3" borderId="1" xfId="0" applyNumberFormat="1" applyFont="1" applyFill="1" applyBorder="1" applyAlignment="1">
      <alignment horizontal="center" vertical="center" wrapText="1"/>
    </xf>
    <xf numFmtId="4" fontId="15" fillId="3" borderId="0" xfId="0" applyNumberFormat="1" applyFont="1" applyFill="1" applyAlignment="1">
      <alignment vertical="center" wrapText="1"/>
    </xf>
    <xf numFmtId="3" fontId="10" fillId="0" borderId="1" xfId="3" applyNumberFormat="1" applyFont="1" applyFill="1" applyBorder="1" applyAlignment="1">
      <alignment vertical="center" wrapText="1"/>
    </xf>
    <xf numFmtId="3" fontId="15" fillId="3" borderId="0" xfId="0" applyNumberFormat="1" applyFont="1" applyFill="1" applyAlignment="1">
      <alignment vertical="center" wrapText="1"/>
    </xf>
    <xf numFmtId="3" fontId="0" fillId="0" borderId="0" xfId="0" applyNumberFormat="1" applyAlignment="1">
      <alignment vertical="center"/>
    </xf>
    <xf numFmtId="10" fontId="0" fillId="0" borderId="0" xfId="4" applyNumberFormat="1" applyFont="1" applyAlignment="1">
      <alignment vertical="center"/>
    </xf>
    <xf numFmtId="167" fontId="6" fillId="0" borderId="1" xfId="3" applyNumberFormat="1" applyFont="1" applyFill="1" applyBorder="1" applyAlignment="1">
      <alignment horizontal="right" vertical="center"/>
    </xf>
    <xf numFmtId="167" fontId="6" fillId="0" borderId="1" xfId="3" applyNumberFormat="1" applyFont="1" applyFill="1" applyBorder="1" applyAlignment="1">
      <alignment horizontal="left" vertical="center"/>
    </xf>
    <xf numFmtId="49" fontId="10" fillId="0" borderId="1" xfId="0" applyNumberFormat="1" applyFont="1" applyBorder="1" applyAlignment="1">
      <alignment horizontal="center" vertical="center"/>
    </xf>
    <xf numFmtId="49" fontId="10" fillId="0" borderId="1" xfId="0" applyNumberFormat="1" applyFont="1" applyBorder="1" applyAlignment="1">
      <alignment vertical="center" wrapText="1"/>
    </xf>
    <xf numFmtId="49" fontId="6" fillId="0" borderId="1" xfId="0" applyNumberFormat="1" applyFont="1" applyBorder="1" applyAlignment="1">
      <alignment horizontal="center" vertical="center"/>
    </xf>
    <xf numFmtId="49" fontId="6" fillId="0" borderId="1" xfId="0" applyNumberFormat="1" applyFont="1" applyBorder="1" applyAlignment="1">
      <alignment vertical="center" wrapText="1"/>
    </xf>
    <xf numFmtId="0" fontId="6" fillId="0" borderId="1" xfId="0" applyFont="1" applyBorder="1" applyAlignment="1">
      <alignment horizontal="left" vertical="center" wrapText="1"/>
    </xf>
    <xf numFmtId="169" fontId="6" fillId="0" borderId="1" xfId="0" applyNumberFormat="1" applyFont="1" applyBorder="1" applyAlignment="1">
      <alignment horizontal="center" vertical="center"/>
    </xf>
    <xf numFmtId="170" fontId="6" fillId="0" borderId="1" xfId="0" applyNumberFormat="1" applyFont="1" applyBorder="1" applyAlignment="1">
      <alignment horizontal="center" vertical="center" wrapText="1"/>
    </xf>
    <xf numFmtId="170" fontId="6" fillId="0" borderId="1" xfId="0" applyNumberFormat="1" applyFont="1" applyBorder="1" applyAlignment="1">
      <alignment horizontal="center" vertical="center"/>
    </xf>
    <xf numFmtId="0" fontId="3" fillId="0" borderId="1" xfId="0" applyFont="1" applyBorder="1" applyAlignment="1">
      <alignment horizontal="center" vertical="center"/>
    </xf>
    <xf numFmtId="168" fontId="6" fillId="0" borderId="1" xfId="0" applyNumberFormat="1" applyFont="1" applyBorder="1"/>
    <xf numFmtId="9" fontId="6" fillId="0" borderId="1" xfId="4" applyFont="1" applyFill="1" applyBorder="1" applyAlignment="1">
      <alignment horizontal="center" vertical="center"/>
    </xf>
    <xf numFmtId="0" fontId="8" fillId="0" borderId="1" xfId="0" applyFont="1" applyBorder="1" applyAlignment="1">
      <alignment vertical="center" wrapText="1"/>
    </xf>
    <xf numFmtId="0" fontId="6" fillId="0" borderId="1" xfId="0" applyFont="1" applyBorder="1" applyAlignment="1">
      <alignment horizontal="center" vertical="center" wrapText="1"/>
    </xf>
    <xf numFmtId="168" fontId="0" fillId="0" borderId="0" xfId="0" applyNumberFormat="1" applyAlignment="1">
      <alignment vertical="center"/>
    </xf>
    <xf numFmtId="0" fontId="18" fillId="0" borderId="1" xfId="0" applyFont="1" applyBorder="1" applyAlignment="1">
      <alignment horizontal="center" vertical="center" wrapText="1"/>
    </xf>
    <xf numFmtId="0" fontId="19" fillId="4" borderId="1" xfId="0" applyFont="1" applyFill="1" applyBorder="1" applyAlignment="1">
      <alignment vertical="center"/>
    </xf>
    <xf numFmtId="49" fontId="6" fillId="4" borderId="1" xfId="0" applyNumberFormat="1" applyFont="1" applyFill="1" applyBorder="1" applyAlignment="1">
      <alignment horizontal="center" vertical="center"/>
    </xf>
    <xf numFmtId="49" fontId="6" fillId="4" borderId="1" xfId="0" applyNumberFormat="1" applyFont="1" applyFill="1" applyBorder="1" applyAlignment="1">
      <alignment vertical="center" wrapText="1"/>
    </xf>
    <xf numFmtId="169" fontId="6" fillId="4" borderId="1" xfId="0" applyNumberFormat="1" applyFont="1" applyFill="1" applyBorder="1" applyAlignment="1">
      <alignment horizontal="center" vertical="center"/>
    </xf>
    <xf numFmtId="168" fontId="6" fillId="4" borderId="1" xfId="0" applyNumberFormat="1" applyFont="1" applyFill="1" applyBorder="1"/>
    <xf numFmtId="167" fontId="6" fillId="4" borderId="1" xfId="3" applyNumberFormat="1" applyFont="1" applyFill="1" applyBorder="1" applyAlignment="1">
      <alignment horizontal="left" vertical="center"/>
    </xf>
    <xf numFmtId="9" fontId="6" fillId="4" borderId="1" xfId="4" applyFont="1" applyFill="1" applyBorder="1" applyAlignment="1">
      <alignment horizontal="center" vertical="center"/>
    </xf>
    <xf numFmtId="167" fontId="6" fillId="4" borderId="1" xfId="3" applyNumberFormat="1" applyFont="1" applyFill="1" applyBorder="1" applyAlignment="1">
      <alignment horizontal="right" vertical="center"/>
    </xf>
    <xf numFmtId="168" fontId="0" fillId="4" borderId="0" xfId="0" applyNumberFormat="1" applyFill="1" applyAlignment="1">
      <alignment vertical="center"/>
    </xf>
    <xf numFmtId="167" fontId="0" fillId="4" borderId="0" xfId="3" applyNumberFormat="1" applyFont="1" applyFill="1" applyAlignment="1">
      <alignment vertical="center"/>
    </xf>
    <xf numFmtId="0" fontId="0" fillId="4" borderId="0" xfId="0" applyFill="1" applyAlignment="1">
      <alignment vertical="center"/>
    </xf>
    <xf numFmtId="0" fontId="6" fillId="0" borderId="0" xfId="0" applyFont="1" applyAlignment="1">
      <alignment vertical="center"/>
    </xf>
    <xf numFmtId="0" fontId="20" fillId="0" borderId="0" xfId="0" applyFont="1" applyAlignment="1">
      <alignment vertical="center"/>
    </xf>
    <xf numFmtId="0" fontId="10" fillId="0" borderId="1" xfId="0" applyFont="1" applyBorder="1" applyAlignment="1">
      <alignment horizontal="left"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8" fillId="0" borderId="1" xfId="0" applyFont="1" applyBorder="1" applyAlignment="1">
      <alignment horizontal="justify" vertical="center" wrapText="1"/>
    </xf>
    <xf numFmtId="0" fontId="18"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10" fillId="0" borderId="1" xfId="0" applyFont="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pplyAlignment="1">
      <alignment horizontal="justify" vertical="center" wrapText="1"/>
    </xf>
    <xf numFmtId="0" fontId="6" fillId="0" borderId="1" xfId="0" quotePrefix="1" applyFont="1" applyBorder="1" applyAlignment="1">
      <alignment horizontal="left" vertical="center" wrapText="1"/>
    </xf>
    <xf numFmtId="0" fontId="18" fillId="0" borderId="5" xfId="0" applyFont="1" applyBorder="1" applyAlignment="1">
      <alignment horizontal="center" vertical="center"/>
    </xf>
    <xf numFmtId="0" fontId="18" fillId="0" borderId="1" xfId="0" applyFont="1" applyBorder="1" applyAlignment="1">
      <alignment horizontal="left" vertical="center" wrapText="1"/>
    </xf>
    <xf numFmtId="0" fontId="18" fillId="0" borderId="1" xfId="0" applyFont="1" applyBorder="1" applyAlignment="1">
      <alignment horizontal="left" vertical="center"/>
    </xf>
    <xf numFmtId="0" fontId="18" fillId="0" borderId="1" xfId="0" applyFont="1" applyBorder="1" applyAlignment="1">
      <alignment horizontal="center" vertical="center"/>
    </xf>
    <xf numFmtId="0" fontId="18" fillId="0" borderId="1" xfId="0" quotePrefix="1" applyFont="1" applyBorder="1" applyAlignment="1">
      <alignment horizontal="left" vertical="center" wrapText="1"/>
    </xf>
    <xf numFmtId="0" fontId="22" fillId="0" borderId="1" xfId="0" applyFont="1" applyBorder="1" applyAlignment="1">
      <alignment horizontal="center" vertical="center" wrapText="1"/>
    </xf>
    <xf numFmtId="0" fontId="6" fillId="0" borderId="1" xfId="0" applyFont="1" applyBorder="1" applyAlignment="1">
      <alignment vertical="center" wrapText="1"/>
    </xf>
    <xf numFmtId="0" fontId="10" fillId="0" borderId="6" xfId="0" applyFont="1" applyBorder="1" applyAlignment="1">
      <alignment horizontal="center" vertical="center"/>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20" fillId="0" borderId="10" xfId="0" applyFont="1" applyBorder="1" applyAlignment="1">
      <alignment horizontal="center" vertical="center" wrapText="1"/>
    </xf>
    <xf numFmtId="0" fontId="10" fillId="0" borderId="10" xfId="0" applyFont="1" applyBorder="1" applyAlignment="1">
      <alignment horizontal="left" vertical="center" wrapText="1"/>
    </xf>
    <xf numFmtId="0" fontId="10" fillId="0" borderId="10" xfId="0" applyFont="1" applyBorder="1" applyAlignment="1">
      <alignment horizontal="center" vertical="center" wrapText="1"/>
    </xf>
    <xf numFmtId="0" fontId="6" fillId="0" borderId="10" xfId="0" applyFont="1" applyBorder="1" applyAlignment="1">
      <alignment horizontal="center" vertical="center" wrapText="1"/>
    </xf>
    <xf numFmtId="0" fontId="10" fillId="0" borderId="7" xfId="0" applyFont="1" applyBorder="1" applyAlignment="1">
      <alignment horizontal="center" vertical="center"/>
    </xf>
    <xf numFmtId="0" fontId="26" fillId="0" borderId="1" xfId="0" applyFont="1" applyBorder="1" applyAlignment="1">
      <alignment horizontal="center" vertical="center"/>
    </xf>
    <xf numFmtId="0" fontId="6" fillId="0" borderId="6" xfId="0" applyFont="1" applyBorder="1" applyAlignment="1">
      <alignment horizontal="left"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6" fillId="0" borderId="3" xfId="0" applyFont="1" applyBorder="1" applyAlignment="1">
      <alignment horizontal="center" vertical="center" wrapText="1"/>
    </xf>
    <xf numFmtId="0" fontId="6" fillId="0" borderId="2" xfId="0" applyFont="1" applyBorder="1" applyAlignment="1">
      <alignment horizontal="center" vertical="center"/>
    </xf>
    <xf numFmtId="0" fontId="18" fillId="0" borderId="1" xfId="0" quotePrefix="1" applyFont="1" applyBorder="1" applyAlignment="1">
      <alignment horizontal="justify" vertical="center" wrapText="1"/>
    </xf>
    <xf numFmtId="0" fontId="20" fillId="0" borderId="1" xfId="0" applyFont="1" applyBorder="1" applyAlignment="1">
      <alignment horizontal="left" vertical="center" wrapText="1"/>
    </xf>
    <xf numFmtId="0" fontId="27" fillId="0" borderId="1" xfId="0" applyFont="1" applyBorder="1" applyAlignment="1">
      <alignment horizontal="left" vertical="center" wrapText="1"/>
    </xf>
    <xf numFmtId="0" fontId="27"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28" fillId="0" borderId="1" xfId="0" applyFont="1" applyBorder="1" applyAlignment="1">
      <alignment horizontal="left" vertical="center" wrapText="1"/>
    </xf>
    <xf numFmtId="0" fontId="27" fillId="0" borderId="1" xfId="0" quotePrefix="1" applyFont="1" applyBorder="1" applyAlignment="1">
      <alignment horizontal="center" vertical="center" wrapText="1"/>
    </xf>
    <xf numFmtId="0" fontId="20" fillId="0" borderId="5" xfId="0" applyFont="1" applyBorder="1" applyAlignment="1">
      <alignment horizontal="center" vertical="center" wrapText="1"/>
    </xf>
    <xf numFmtId="0" fontId="18" fillId="0" borderId="12" xfId="0" applyFont="1" applyBorder="1" applyAlignment="1">
      <alignment horizontal="left" vertical="center" wrapText="1"/>
    </xf>
    <xf numFmtId="0" fontId="18" fillId="0" borderId="13" xfId="0" applyFont="1" applyBorder="1" applyAlignment="1">
      <alignment horizontal="center" vertical="center" wrapText="1"/>
    </xf>
    <xf numFmtId="0" fontId="20" fillId="0" borderId="5" xfId="0" applyFont="1" applyBorder="1" applyAlignment="1">
      <alignment horizontal="left"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5" xfId="0" quotePrefix="1" applyFont="1" applyBorder="1" applyAlignment="1">
      <alignment horizontal="left" vertical="center" wrapText="1"/>
    </xf>
    <xf numFmtId="0" fontId="18" fillId="0" borderId="5" xfId="0" applyFont="1" applyBorder="1" applyAlignment="1">
      <alignment horizontal="left" vertical="center" wrapText="1"/>
    </xf>
    <xf numFmtId="0" fontId="6" fillId="0" borderId="0" xfId="0" applyFont="1" applyAlignment="1">
      <alignment horizontal="center" vertical="center"/>
    </xf>
    <xf numFmtId="0" fontId="18" fillId="0" borderId="16"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2" xfId="0" applyFont="1" applyBorder="1" applyAlignment="1">
      <alignment horizontal="left" vertical="center" wrapText="1"/>
    </xf>
    <xf numFmtId="0" fontId="20" fillId="0" borderId="1" xfId="0" applyFont="1" applyBorder="1" applyAlignment="1">
      <alignment horizontal="center" vertical="center" wrapText="1"/>
    </xf>
    <xf numFmtId="0" fontId="18" fillId="0" borderId="13" xfId="0" applyFont="1" applyBorder="1" applyAlignment="1">
      <alignment horizontal="center" vertical="center"/>
    </xf>
    <xf numFmtId="0" fontId="6" fillId="0" borderId="6" xfId="0" applyFont="1" applyBorder="1" applyAlignment="1">
      <alignment horizontal="center" vertical="center"/>
    </xf>
    <xf numFmtId="0" fontId="18" fillId="0" borderId="19" xfId="0" applyFont="1" applyBorder="1" applyAlignment="1">
      <alignment horizontal="center" vertical="center" wrapText="1"/>
    </xf>
    <xf numFmtId="0" fontId="18" fillId="0" borderId="11" xfId="0" applyFont="1" applyBorder="1" applyAlignment="1">
      <alignment horizontal="center" vertical="center" wrapText="1"/>
    </xf>
    <xf numFmtId="0" fontId="6" fillId="0" borderId="0" xfId="0" applyFont="1" applyAlignment="1">
      <alignment horizontal="left" vertical="center"/>
    </xf>
    <xf numFmtId="0" fontId="6" fillId="0" borderId="0" xfId="0" applyFont="1" applyAlignment="1">
      <alignment vertical="center" wrapText="1"/>
    </xf>
    <xf numFmtId="168" fontId="6" fillId="4" borderId="1" xfId="0" applyNumberFormat="1" applyFont="1" applyFill="1" applyBorder="1" applyAlignment="1">
      <alignment horizontal="right" vertical="center"/>
    </xf>
    <xf numFmtId="0" fontId="6" fillId="4" borderId="1" xfId="0" applyFont="1" applyFill="1" applyBorder="1" applyAlignment="1">
      <alignment horizontal="center" vertical="center" wrapText="1"/>
    </xf>
    <xf numFmtId="0" fontId="6" fillId="4" borderId="0" xfId="0" applyFont="1" applyFill="1" applyAlignment="1">
      <alignment vertical="center"/>
    </xf>
    <xf numFmtId="4" fontId="10" fillId="3" borderId="1" xfId="0" applyNumberFormat="1" applyFont="1" applyFill="1" applyBorder="1" applyAlignment="1">
      <alignment horizontal="center" vertical="center" wrapText="1"/>
    </xf>
    <xf numFmtId="3" fontId="16" fillId="3" borderId="2" xfId="0" applyNumberFormat="1" applyFont="1" applyFill="1" applyBorder="1" applyAlignment="1">
      <alignment horizontal="center" vertical="center" wrapText="1"/>
    </xf>
    <xf numFmtId="3" fontId="16" fillId="3" borderId="4" xfId="0" applyNumberFormat="1" applyFont="1" applyFill="1" applyBorder="1" applyAlignment="1">
      <alignment horizontal="center" vertical="center" wrapText="1"/>
    </xf>
    <xf numFmtId="3" fontId="16" fillId="3" borderId="3"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4" fillId="0" borderId="0" xfId="0" applyFont="1" applyAlignment="1">
      <alignment horizontal="center" vertical="center" wrapText="1"/>
    </xf>
    <xf numFmtId="0" fontId="1" fillId="0" borderId="0" xfId="0" applyFont="1" applyAlignment="1">
      <alignment horizontal="center" vertical="center" wrapText="1"/>
    </xf>
    <xf numFmtId="0" fontId="13" fillId="0" borderId="0" xfId="0" applyFont="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6" fillId="0" borderId="1" xfId="0" applyFont="1" applyBorder="1" applyAlignment="1">
      <alignment horizontal="center" vertical="center" wrapText="1"/>
    </xf>
    <xf numFmtId="0" fontId="10" fillId="0" borderId="8" xfId="0" applyFont="1" applyBorder="1" applyAlignment="1">
      <alignment horizontal="left" vertical="center" wrapText="1"/>
    </xf>
    <xf numFmtId="0" fontId="10" fillId="0" borderId="4" xfId="0" applyFont="1" applyBorder="1" applyAlignment="1">
      <alignment horizontal="left" vertical="center" wrapText="1"/>
    </xf>
    <xf numFmtId="0" fontId="10" fillId="0" borderId="9"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8" fillId="0" borderId="6"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6" xfId="0" applyFont="1" applyBorder="1" applyAlignment="1">
      <alignment horizontal="left" vertical="center" wrapText="1"/>
    </xf>
    <xf numFmtId="0" fontId="18" fillId="0" borderId="10" xfId="0" applyFont="1" applyBorder="1" applyAlignment="1">
      <alignment horizontal="left" vertical="center" wrapText="1"/>
    </xf>
    <xf numFmtId="0" fontId="18" fillId="0" borderId="7" xfId="0" applyFont="1" applyBorder="1" applyAlignment="1">
      <alignment horizontal="left" vertical="center" wrapText="1"/>
    </xf>
    <xf numFmtId="0" fontId="10" fillId="0" borderId="6" xfId="0" applyFont="1" applyBorder="1" applyAlignment="1">
      <alignment horizontal="center" vertical="center"/>
    </xf>
    <xf numFmtId="0" fontId="10" fillId="0" borderId="10" xfId="0" applyFont="1" applyBorder="1" applyAlignment="1">
      <alignment horizontal="center" vertical="center"/>
    </xf>
    <xf numFmtId="0" fontId="10" fillId="0" borderId="7" xfId="0" applyFont="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left" vertical="center" wrapText="1"/>
    </xf>
    <xf numFmtId="0" fontId="6" fillId="0" borderId="6"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7" xfId="0" applyFont="1" applyBorder="1" applyAlignment="1">
      <alignment horizontal="center" vertical="center" wrapText="1"/>
    </xf>
    <xf numFmtId="0" fontId="28" fillId="0" borderId="1" xfId="0" applyFont="1" applyBorder="1" applyAlignment="1">
      <alignment horizontal="left" vertical="center" wrapText="1"/>
    </xf>
    <xf numFmtId="0" fontId="27" fillId="0" borderId="1" xfId="0" quotePrefix="1" applyFont="1" applyBorder="1" applyAlignment="1">
      <alignment horizontal="left" vertical="center" wrapText="1"/>
    </xf>
    <xf numFmtId="0" fontId="20" fillId="0" borderId="5" xfId="0" applyFont="1" applyBorder="1" applyAlignment="1">
      <alignment horizontal="center" vertical="center" wrapText="1"/>
    </xf>
    <xf numFmtId="0" fontId="20" fillId="0" borderId="11"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12" xfId="0" applyFont="1" applyBorder="1" applyAlignment="1">
      <alignment horizontal="left" vertical="center" wrapText="1"/>
    </xf>
    <xf numFmtId="0" fontId="20" fillId="0" borderId="16"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left" vertical="center" wrapText="1"/>
    </xf>
    <xf numFmtId="0" fontId="18" fillId="0" borderId="18" xfId="0" applyFont="1" applyBorder="1" applyAlignment="1">
      <alignment horizontal="left" vertical="center" wrapText="1"/>
    </xf>
    <xf numFmtId="0" fontId="10" fillId="0" borderId="20" xfId="0" applyFont="1" applyBorder="1" applyAlignment="1">
      <alignment horizontal="left" vertical="center" wrapText="1"/>
    </xf>
  </cellXfs>
  <cellStyles count="5">
    <cellStyle name="Comma" xfId="3" builtinId="3"/>
    <cellStyle name="Comma 2" xfId="1" xr:uid="{00000000-0005-0000-0000-000001000000}"/>
    <cellStyle name="Normal" xfId="0" builtinId="0"/>
    <cellStyle name="Normal 2" xfId="2" xr:uid="{00000000-0005-0000-0000-000003000000}"/>
    <cellStyle name="Percent" xfId="4" builtinId="5"/>
  </cellStyles>
  <dxfs count="2">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59"/>
  <sheetViews>
    <sheetView tabSelected="1" view="pageBreakPreview" zoomScale="85" zoomScaleNormal="85" zoomScaleSheetLayoutView="85" workbookViewId="0">
      <pane ySplit="6" topLeftCell="A7" activePane="bottomLeft" state="frozen"/>
      <selection pane="bottomLeft" activeCell="B12" sqref="B12"/>
    </sheetView>
  </sheetViews>
  <sheetFormatPr defaultColWidth="8.85546875" defaultRowHeight="15"/>
  <cols>
    <col min="1" max="1" width="5.7109375" style="2" customWidth="1"/>
    <col min="2" max="2" width="62.28515625" style="4" customWidth="1"/>
    <col min="3" max="3" width="11.28515625" style="5" customWidth="1"/>
    <col min="4" max="4" width="10.28515625" style="5" customWidth="1"/>
    <col min="5" max="5" width="14.7109375" style="2" customWidth="1"/>
    <col min="6" max="6" width="16.28515625" style="2" customWidth="1"/>
    <col min="7" max="7" width="5.85546875" style="2" customWidth="1"/>
    <col min="8" max="8" width="16.7109375" style="2" bestFit="1" customWidth="1"/>
    <col min="9" max="9" width="18.85546875" style="2" bestFit="1" customWidth="1"/>
    <col min="10" max="10" width="20" style="2" customWidth="1"/>
    <col min="11" max="11" width="15.85546875" style="2" customWidth="1"/>
    <col min="12" max="12" width="30.140625" style="6" customWidth="1"/>
    <col min="13" max="13" width="14.7109375" style="2" customWidth="1"/>
    <col min="14" max="16384" width="8.85546875" style="2"/>
  </cols>
  <sheetData>
    <row r="1" spans="1:13" ht="24.75" customHeight="1">
      <c r="A1" s="123" t="s">
        <v>14</v>
      </c>
      <c r="B1" s="123"/>
      <c r="C1" s="123"/>
      <c r="D1" s="123"/>
      <c r="E1" s="123"/>
      <c r="F1" s="123"/>
      <c r="G1" s="123"/>
      <c r="H1" s="123"/>
      <c r="I1" s="123"/>
      <c r="J1" s="123"/>
    </row>
    <row r="2" spans="1:13" ht="24.75" customHeight="1">
      <c r="A2" s="124" t="s">
        <v>22</v>
      </c>
      <c r="B2" s="124"/>
      <c r="C2" s="124"/>
      <c r="D2" s="124"/>
      <c r="E2" s="124"/>
      <c r="F2" s="124"/>
      <c r="G2" s="124"/>
      <c r="H2" s="124"/>
      <c r="I2" s="124"/>
      <c r="J2" s="124"/>
    </row>
    <row r="3" spans="1:13" ht="24.75" customHeight="1">
      <c r="A3" s="125" t="s">
        <v>218</v>
      </c>
      <c r="B3" s="125"/>
      <c r="C3" s="125"/>
      <c r="D3" s="125"/>
      <c r="E3" s="125"/>
      <c r="F3" s="125"/>
      <c r="G3" s="125"/>
      <c r="H3" s="125"/>
      <c r="I3" s="125"/>
      <c r="J3" s="125"/>
    </row>
    <row r="4" spans="1:13" ht="18.75">
      <c r="A4" s="15"/>
      <c r="B4" s="15"/>
      <c r="C4" s="15"/>
      <c r="D4" s="15"/>
      <c r="E4" s="12"/>
      <c r="F4" s="12"/>
      <c r="G4" s="12"/>
      <c r="H4" s="12"/>
      <c r="I4" s="12"/>
      <c r="M4" s="12"/>
    </row>
    <row r="5" spans="1:13" ht="27" customHeight="1">
      <c r="A5" s="121" t="s">
        <v>6</v>
      </c>
      <c r="B5" s="121" t="s">
        <v>183</v>
      </c>
      <c r="C5" s="121" t="s">
        <v>8</v>
      </c>
      <c r="D5" s="121" t="s">
        <v>7</v>
      </c>
      <c r="E5" s="121" t="s">
        <v>5</v>
      </c>
      <c r="F5" s="121" t="s">
        <v>9</v>
      </c>
      <c r="G5" s="121" t="s">
        <v>10</v>
      </c>
      <c r="H5" s="121"/>
      <c r="I5" s="121" t="s">
        <v>13</v>
      </c>
      <c r="J5" s="122" t="s">
        <v>3</v>
      </c>
      <c r="M5" s="121" t="s">
        <v>5</v>
      </c>
    </row>
    <row r="6" spans="1:13" ht="27" customHeight="1">
      <c r="A6" s="121"/>
      <c r="B6" s="121"/>
      <c r="C6" s="121"/>
      <c r="D6" s="121"/>
      <c r="E6" s="121"/>
      <c r="F6" s="121"/>
      <c r="G6" s="1" t="s">
        <v>11</v>
      </c>
      <c r="H6" s="1" t="s">
        <v>12</v>
      </c>
      <c r="I6" s="121"/>
      <c r="J6" s="122"/>
      <c r="M6" s="121"/>
    </row>
    <row r="7" spans="1:13" s="9" customFormat="1" ht="31.5">
      <c r="A7" s="28" t="s">
        <v>206</v>
      </c>
      <c r="B7" s="29" t="s">
        <v>24</v>
      </c>
      <c r="C7" s="7" t="s">
        <v>0</v>
      </c>
      <c r="D7" s="7" t="s">
        <v>0</v>
      </c>
      <c r="E7" s="8"/>
      <c r="F7" s="8"/>
      <c r="G7" s="8"/>
      <c r="H7" s="8"/>
      <c r="I7" s="8"/>
      <c r="J7" s="8"/>
      <c r="L7" s="11"/>
      <c r="M7" s="8"/>
    </row>
    <row r="8" spans="1:13" ht="15.75">
      <c r="A8" s="30" t="s">
        <v>184</v>
      </c>
      <c r="B8" s="31" t="s">
        <v>25</v>
      </c>
      <c r="C8" s="33">
        <v>1</v>
      </c>
      <c r="D8" s="30" t="s">
        <v>161</v>
      </c>
      <c r="E8" s="37">
        <f>M8-K8</f>
        <v>76312962.962962955</v>
      </c>
      <c r="F8" s="27">
        <f>E8*C8</f>
        <v>76312962.962962955</v>
      </c>
      <c r="G8" s="38">
        <v>0.08</v>
      </c>
      <c r="H8" s="26">
        <f>ROUND(F8*G8,0)</f>
        <v>6105037</v>
      </c>
      <c r="I8" s="26">
        <f>F8+H8</f>
        <v>82417999.962962955</v>
      </c>
      <c r="J8" s="3"/>
      <c r="K8" s="41">
        <f>M8*2%</f>
        <v>1557407.4074074072</v>
      </c>
      <c r="M8" s="37">
        <v>77870370.370370358</v>
      </c>
    </row>
    <row r="9" spans="1:13" ht="31.5">
      <c r="A9" s="30" t="s">
        <v>185</v>
      </c>
      <c r="B9" s="31" t="s">
        <v>26</v>
      </c>
      <c r="C9" s="33">
        <v>1</v>
      </c>
      <c r="D9" s="30" t="s">
        <v>161</v>
      </c>
      <c r="E9" s="37">
        <f t="shared" ref="E9:E71" si="0">M9-K9</f>
        <v>41377777.777777769</v>
      </c>
      <c r="F9" s="27">
        <f>E9*C9</f>
        <v>41377777.777777769</v>
      </c>
      <c r="G9" s="38">
        <v>0.08</v>
      </c>
      <c r="H9" s="26">
        <f t="shared" ref="H9:H71" si="1">ROUND(F9*G9,0)</f>
        <v>3310222</v>
      </c>
      <c r="I9" s="26">
        <f t="shared" ref="I9:I71" si="2">F9+H9</f>
        <v>44687999.777777769</v>
      </c>
      <c r="J9" s="3"/>
      <c r="K9" s="41">
        <f t="shared" ref="K9:K72" si="3">M9*2%</f>
        <v>844444.44444444438</v>
      </c>
      <c r="M9" s="37">
        <v>42222222.222222216</v>
      </c>
    </row>
    <row r="10" spans="1:13" ht="15.75">
      <c r="A10" s="30" t="s">
        <v>186</v>
      </c>
      <c r="B10" s="31" t="s">
        <v>27</v>
      </c>
      <c r="C10" s="33">
        <v>1</v>
      </c>
      <c r="D10" s="30" t="s">
        <v>162</v>
      </c>
      <c r="E10" s="37">
        <f t="shared" si="0"/>
        <v>9210185.1851851847</v>
      </c>
      <c r="F10" s="27">
        <f>E10*C10</f>
        <v>9210185.1851851847</v>
      </c>
      <c r="G10" s="38">
        <v>0.08</v>
      </c>
      <c r="H10" s="26">
        <f t="shared" si="1"/>
        <v>736815</v>
      </c>
      <c r="I10" s="26">
        <f t="shared" si="2"/>
        <v>9947000.1851851847</v>
      </c>
      <c r="J10" s="39"/>
      <c r="K10" s="41">
        <f t="shared" si="3"/>
        <v>187962.96296296295</v>
      </c>
      <c r="M10" s="37">
        <v>9398148.1481481474</v>
      </c>
    </row>
    <row r="11" spans="1:13" ht="15.75">
      <c r="A11" s="30" t="s">
        <v>187</v>
      </c>
      <c r="B11" s="31" t="s">
        <v>28</v>
      </c>
      <c r="C11" s="33">
        <v>1</v>
      </c>
      <c r="D11" s="30" t="s">
        <v>162</v>
      </c>
      <c r="E11" s="37">
        <f t="shared" si="0"/>
        <v>7486111.1111111101</v>
      </c>
      <c r="F11" s="27">
        <f>E11*C11</f>
        <v>7486111.1111111101</v>
      </c>
      <c r="G11" s="38">
        <v>0.08</v>
      </c>
      <c r="H11" s="26">
        <f t="shared" si="1"/>
        <v>598889</v>
      </c>
      <c r="I11" s="26">
        <f t="shared" si="2"/>
        <v>8085000.1111111101</v>
      </c>
      <c r="J11" s="3"/>
      <c r="K11" s="41">
        <f t="shared" si="3"/>
        <v>152777.77777777775</v>
      </c>
      <c r="L11" s="16"/>
      <c r="M11" s="37">
        <v>7638888.8888888881</v>
      </c>
    </row>
    <row r="12" spans="1:13" ht="94.5">
      <c r="A12" s="28" t="s">
        <v>207</v>
      </c>
      <c r="B12" s="29" t="s">
        <v>30</v>
      </c>
      <c r="C12" s="36"/>
      <c r="D12" s="36"/>
      <c r="E12" s="37">
        <f t="shared" si="0"/>
        <v>0</v>
      </c>
      <c r="F12" s="27"/>
      <c r="G12" s="38"/>
      <c r="H12" s="26"/>
      <c r="I12" s="26"/>
      <c r="J12" s="3"/>
      <c r="K12" s="41">
        <f t="shared" si="3"/>
        <v>0</v>
      </c>
      <c r="L12" s="16"/>
      <c r="M12" s="37"/>
    </row>
    <row r="13" spans="1:13" ht="15.75">
      <c r="A13" s="30" t="s">
        <v>184</v>
      </c>
      <c r="B13" s="45" t="s">
        <v>31</v>
      </c>
      <c r="C13" s="33">
        <v>6</v>
      </c>
      <c r="D13" s="30" t="s">
        <v>163</v>
      </c>
      <c r="E13" s="37">
        <f t="shared" si="0"/>
        <v>1776249.9999999998</v>
      </c>
      <c r="F13" s="27">
        <f t="shared" ref="F13:F39" si="4">E13*C13</f>
        <v>10657499.999999998</v>
      </c>
      <c r="G13" s="38">
        <v>0.08</v>
      </c>
      <c r="H13" s="26">
        <f t="shared" si="1"/>
        <v>852600</v>
      </c>
      <c r="I13" s="26">
        <f t="shared" si="2"/>
        <v>11510099.999999998</v>
      </c>
      <c r="J13" s="3"/>
      <c r="K13" s="41">
        <f t="shared" si="3"/>
        <v>36249.999999999993</v>
      </c>
      <c r="L13" s="16"/>
      <c r="M13" s="37">
        <v>1812499.9999999998</v>
      </c>
    </row>
    <row r="14" spans="1:13" ht="15.75">
      <c r="A14" s="30" t="s">
        <v>185</v>
      </c>
      <c r="B14" s="45" t="s">
        <v>32</v>
      </c>
      <c r="C14" s="33">
        <v>4</v>
      </c>
      <c r="D14" s="30" t="s">
        <v>164</v>
      </c>
      <c r="E14" s="37">
        <f t="shared" si="0"/>
        <v>989437.03703703696</v>
      </c>
      <c r="F14" s="27">
        <f t="shared" si="4"/>
        <v>3957748.1481481479</v>
      </c>
      <c r="G14" s="38">
        <v>0.08</v>
      </c>
      <c r="H14" s="26">
        <f t="shared" si="1"/>
        <v>316620</v>
      </c>
      <c r="I14" s="26">
        <f t="shared" si="2"/>
        <v>4274368.1481481474</v>
      </c>
      <c r="J14" s="3"/>
      <c r="K14" s="41">
        <f t="shared" si="3"/>
        <v>20192.592592592591</v>
      </c>
      <c r="L14" s="16"/>
      <c r="M14" s="37">
        <v>1009629.6296296295</v>
      </c>
    </row>
    <row r="15" spans="1:13" ht="15.75">
      <c r="A15" s="30" t="s">
        <v>186</v>
      </c>
      <c r="B15" s="45" t="s">
        <v>33</v>
      </c>
      <c r="C15" s="33">
        <v>7</v>
      </c>
      <c r="D15" s="30" t="s">
        <v>164</v>
      </c>
      <c r="E15" s="37">
        <f t="shared" si="0"/>
        <v>7712962.9629629618</v>
      </c>
      <c r="F15" s="27">
        <f t="shared" si="4"/>
        <v>53990740.740740731</v>
      </c>
      <c r="G15" s="38">
        <v>0.08</v>
      </c>
      <c r="H15" s="26">
        <f t="shared" si="1"/>
        <v>4319259</v>
      </c>
      <c r="I15" s="26">
        <f t="shared" si="2"/>
        <v>58309999.740740731</v>
      </c>
      <c r="J15" s="3"/>
      <c r="K15" s="41">
        <f t="shared" si="3"/>
        <v>157407.40740740739</v>
      </c>
      <c r="L15" s="16"/>
      <c r="M15" s="37">
        <v>7870370.3703703694</v>
      </c>
    </row>
    <row r="16" spans="1:13" ht="15.75">
      <c r="A16" s="30" t="s">
        <v>187</v>
      </c>
      <c r="B16" s="45" t="s">
        <v>34</v>
      </c>
      <c r="C16" s="33">
        <v>4</v>
      </c>
      <c r="D16" s="30" t="s">
        <v>164</v>
      </c>
      <c r="E16" s="37">
        <f t="shared" si="0"/>
        <v>6840944.444444444</v>
      </c>
      <c r="F16" s="27">
        <f t="shared" si="4"/>
        <v>27363777.777777776</v>
      </c>
      <c r="G16" s="38">
        <v>0.08</v>
      </c>
      <c r="H16" s="26">
        <f t="shared" si="1"/>
        <v>2189102</v>
      </c>
      <c r="I16" s="26">
        <f t="shared" si="2"/>
        <v>29552879.777777776</v>
      </c>
      <c r="J16" s="3"/>
      <c r="K16" s="41">
        <f t="shared" si="3"/>
        <v>139611.11111111109</v>
      </c>
      <c r="L16" s="16"/>
      <c r="M16" s="37">
        <v>6980555.555555555</v>
      </c>
    </row>
    <row r="17" spans="1:13" ht="15.75">
      <c r="A17" s="30" t="s">
        <v>188</v>
      </c>
      <c r="B17" s="45" t="s">
        <v>35</v>
      </c>
      <c r="C17" s="33">
        <v>1</v>
      </c>
      <c r="D17" s="30" t="s">
        <v>165</v>
      </c>
      <c r="E17" s="37">
        <f t="shared" si="0"/>
        <v>164467.59259259258</v>
      </c>
      <c r="F17" s="27">
        <f t="shared" si="4"/>
        <v>164467.59259259258</v>
      </c>
      <c r="G17" s="38">
        <v>0.08</v>
      </c>
      <c r="H17" s="26">
        <f t="shared" si="1"/>
        <v>13157</v>
      </c>
      <c r="I17" s="26">
        <f t="shared" si="2"/>
        <v>177624.59259259258</v>
      </c>
      <c r="J17" s="3"/>
      <c r="K17" s="41">
        <f t="shared" si="3"/>
        <v>3356.4814814814818</v>
      </c>
      <c r="L17" s="16"/>
      <c r="M17" s="37">
        <v>167824.07407407407</v>
      </c>
    </row>
    <row r="18" spans="1:13" ht="15.75">
      <c r="A18" s="30" t="s">
        <v>189</v>
      </c>
      <c r="B18" s="45" t="s">
        <v>36</v>
      </c>
      <c r="C18" s="33">
        <v>1</v>
      </c>
      <c r="D18" s="30" t="s">
        <v>165</v>
      </c>
      <c r="E18" s="37">
        <f t="shared" si="0"/>
        <v>328935.18518518517</v>
      </c>
      <c r="F18" s="27">
        <f t="shared" si="4"/>
        <v>328935.18518518517</v>
      </c>
      <c r="G18" s="38">
        <v>0.08</v>
      </c>
      <c r="H18" s="26">
        <f t="shared" si="1"/>
        <v>26315</v>
      </c>
      <c r="I18" s="26">
        <f t="shared" si="2"/>
        <v>355250.18518518517</v>
      </c>
      <c r="J18" s="3"/>
      <c r="K18" s="41">
        <f t="shared" si="3"/>
        <v>6712.9629629629635</v>
      </c>
      <c r="L18" s="16"/>
      <c r="M18" s="37">
        <v>335648.14814814815</v>
      </c>
    </row>
    <row r="19" spans="1:13" ht="15.75">
      <c r="A19" s="30" t="s">
        <v>190</v>
      </c>
      <c r="B19" s="45" t="s">
        <v>37</v>
      </c>
      <c r="C19" s="33">
        <v>1</v>
      </c>
      <c r="D19" s="30" t="s">
        <v>1</v>
      </c>
      <c r="E19" s="37">
        <f t="shared" si="0"/>
        <v>499981.48148148146</v>
      </c>
      <c r="F19" s="27">
        <f t="shared" si="4"/>
        <v>499981.48148148146</v>
      </c>
      <c r="G19" s="38">
        <v>0.08</v>
      </c>
      <c r="H19" s="26">
        <f t="shared" si="1"/>
        <v>39999</v>
      </c>
      <c r="I19" s="26">
        <f t="shared" si="2"/>
        <v>539980.48148148146</v>
      </c>
      <c r="J19" s="3"/>
      <c r="K19" s="41">
        <f t="shared" si="3"/>
        <v>10203.703703703704</v>
      </c>
      <c r="L19" s="16"/>
      <c r="M19" s="37">
        <v>510185.18518518517</v>
      </c>
    </row>
    <row r="20" spans="1:13" ht="15.75">
      <c r="A20" s="30" t="s">
        <v>23</v>
      </c>
      <c r="B20" s="31" t="s">
        <v>38</v>
      </c>
      <c r="C20" s="33">
        <v>120</v>
      </c>
      <c r="D20" s="30" t="s">
        <v>166</v>
      </c>
      <c r="E20" s="37">
        <f t="shared" si="0"/>
        <v>59072.222222222219</v>
      </c>
      <c r="F20" s="27">
        <f t="shared" si="4"/>
        <v>7088666.666666666</v>
      </c>
      <c r="G20" s="38">
        <v>0.08</v>
      </c>
      <c r="H20" s="26">
        <f t="shared" si="1"/>
        <v>567093</v>
      </c>
      <c r="I20" s="26">
        <f t="shared" si="2"/>
        <v>7655759.666666666</v>
      </c>
      <c r="J20" s="3"/>
      <c r="K20" s="41">
        <f t="shared" si="3"/>
        <v>1205.5555555555554</v>
      </c>
      <c r="L20" s="16"/>
      <c r="M20" s="37">
        <v>60277.777777777774</v>
      </c>
    </row>
    <row r="21" spans="1:13" ht="15.75">
      <c r="A21" s="30" t="s">
        <v>191</v>
      </c>
      <c r="B21" s="31" t="s">
        <v>39</v>
      </c>
      <c r="C21" s="33">
        <v>100</v>
      </c>
      <c r="D21" s="30" t="s">
        <v>166</v>
      </c>
      <c r="E21" s="37">
        <f t="shared" si="0"/>
        <v>36840.740740740737</v>
      </c>
      <c r="F21" s="27">
        <f t="shared" si="4"/>
        <v>3684074.0740740737</v>
      </c>
      <c r="G21" s="38">
        <v>0.08</v>
      </c>
      <c r="H21" s="26">
        <f t="shared" si="1"/>
        <v>294726</v>
      </c>
      <c r="I21" s="26">
        <f t="shared" si="2"/>
        <v>3978800.0740740737</v>
      </c>
      <c r="J21" s="3"/>
      <c r="K21" s="41">
        <f t="shared" si="3"/>
        <v>751.85185185185185</v>
      </c>
      <c r="L21" s="16"/>
      <c r="M21" s="37">
        <v>37592.592592592591</v>
      </c>
    </row>
    <row r="22" spans="1:13" ht="31.5">
      <c r="A22" s="30" t="s">
        <v>192</v>
      </c>
      <c r="B22" s="31" t="s">
        <v>40</v>
      </c>
      <c r="C22" s="33">
        <v>1</v>
      </c>
      <c r="D22" s="30" t="s">
        <v>1</v>
      </c>
      <c r="E22" s="37">
        <f t="shared" si="0"/>
        <v>1973611.111111111</v>
      </c>
      <c r="F22" s="27">
        <f t="shared" si="4"/>
        <v>1973611.111111111</v>
      </c>
      <c r="G22" s="38">
        <v>0.08</v>
      </c>
      <c r="H22" s="26">
        <f t="shared" si="1"/>
        <v>157889</v>
      </c>
      <c r="I22" s="26">
        <f t="shared" si="2"/>
        <v>2131500.111111111</v>
      </c>
      <c r="J22" s="3"/>
      <c r="K22" s="41">
        <f t="shared" si="3"/>
        <v>40277.777777777774</v>
      </c>
      <c r="L22" s="16"/>
      <c r="M22" s="37">
        <v>2013888.8888888888</v>
      </c>
    </row>
    <row r="23" spans="1:13" ht="15.75">
      <c r="A23" s="30" t="s">
        <v>193</v>
      </c>
      <c r="B23" s="31" t="s">
        <v>41</v>
      </c>
      <c r="C23" s="33">
        <v>1</v>
      </c>
      <c r="D23" s="30" t="s">
        <v>1</v>
      </c>
      <c r="E23" s="37">
        <f t="shared" si="0"/>
        <v>1315740.7407407407</v>
      </c>
      <c r="F23" s="27">
        <f t="shared" si="4"/>
        <v>1315740.7407407407</v>
      </c>
      <c r="G23" s="38">
        <v>0.08</v>
      </c>
      <c r="H23" s="26">
        <f t="shared" si="1"/>
        <v>105259</v>
      </c>
      <c r="I23" s="26">
        <f t="shared" si="2"/>
        <v>1420999.7407407407</v>
      </c>
      <c r="J23" s="3"/>
      <c r="K23" s="41">
        <f t="shared" si="3"/>
        <v>26851.851851851854</v>
      </c>
      <c r="L23" s="16"/>
      <c r="M23" s="37">
        <v>1342592.5925925926</v>
      </c>
    </row>
    <row r="24" spans="1:13" ht="15.75">
      <c r="A24" s="30" t="s">
        <v>194</v>
      </c>
      <c r="B24" s="31" t="s">
        <v>42</v>
      </c>
      <c r="C24" s="33">
        <v>1</v>
      </c>
      <c r="D24" s="30" t="s">
        <v>1</v>
      </c>
      <c r="E24" s="37">
        <f t="shared" si="0"/>
        <v>723657.4074074073</v>
      </c>
      <c r="F24" s="27">
        <f t="shared" si="4"/>
        <v>723657.4074074073</v>
      </c>
      <c r="G24" s="38">
        <v>0.08</v>
      </c>
      <c r="H24" s="26">
        <f t="shared" si="1"/>
        <v>57893</v>
      </c>
      <c r="I24" s="26">
        <f t="shared" si="2"/>
        <v>781550.4074074073</v>
      </c>
      <c r="J24" s="3"/>
      <c r="K24" s="41">
        <f t="shared" si="3"/>
        <v>14768.518518518516</v>
      </c>
      <c r="L24" s="16"/>
      <c r="M24" s="37">
        <v>738425.92592592584</v>
      </c>
    </row>
    <row r="25" spans="1:13" ht="15.75">
      <c r="A25" s="30" t="s">
        <v>195</v>
      </c>
      <c r="B25" s="31" t="s">
        <v>43</v>
      </c>
      <c r="C25" s="33">
        <v>3</v>
      </c>
      <c r="D25" s="30" t="s">
        <v>1</v>
      </c>
      <c r="E25" s="37">
        <f t="shared" si="0"/>
        <v>1710462.9629629629</v>
      </c>
      <c r="F25" s="27">
        <f t="shared" si="4"/>
        <v>5131388.888888889</v>
      </c>
      <c r="G25" s="38">
        <v>0.08</v>
      </c>
      <c r="H25" s="26">
        <f t="shared" si="1"/>
        <v>410511</v>
      </c>
      <c r="I25" s="26">
        <f t="shared" si="2"/>
        <v>5541899.888888889</v>
      </c>
      <c r="J25" s="3"/>
      <c r="K25" s="41">
        <f t="shared" si="3"/>
        <v>34907.407407407409</v>
      </c>
      <c r="L25" s="16"/>
      <c r="M25" s="37">
        <v>1745370.3703703703</v>
      </c>
    </row>
    <row r="26" spans="1:13" ht="15.75">
      <c r="A26" s="30" t="s">
        <v>196</v>
      </c>
      <c r="B26" s="31" t="s">
        <v>44</v>
      </c>
      <c r="C26" s="33">
        <v>4</v>
      </c>
      <c r="D26" s="30" t="s">
        <v>1</v>
      </c>
      <c r="E26" s="37">
        <f t="shared" si="0"/>
        <v>13611111.11111111</v>
      </c>
      <c r="F26" s="27">
        <f t="shared" si="4"/>
        <v>54444444.44444444</v>
      </c>
      <c r="G26" s="38">
        <v>0.08</v>
      </c>
      <c r="H26" s="26">
        <f t="shared" si="1"/>
        <v>4355556</v>
      </c>
      <c r="I26" s="26">
        <f t="shared" si="2"/>
        <v>58800000.44444444</v>
      </c>
      <c r="J26" s="3"/>
      <c r="K26" s="41">
        <f t="shared" si="3"/>
        <v>277777.77777777775</v>
      </c>
      <c r="L26" s="16"/>
      <c r="M26" s="37">
        <v>13888888.888888888</v>
      </c>
    </row>
    <row r="27" spans="1:13" ht="15.75">
      <c r="A27" s="30" t="s">
        <v>197</v>
      </c>
      <c r="B27" s="31" t="s">
        <v>45</v>
      </c>
      <c r="C27" s="33">
        <v>150</v>
      </c>
      <c r="D27" s="30" t="s">
        <v>166</v>
      </c>
      <c r="E27" s="37">
        <f t="shared" si="0"/>
        <v>59072.222222222219</v>
      </c>
      <c r="F27" s="27">
        <f t="shared" si="4"/>
        <v>8860833.3333333321</v>
      </c>
      <c r="G27" s="38">
        <v>0.08</v>
      </c>
      <c r="H27" s="26">
        <f t="shared" si="1"/>
        <v>708867</v>
      </c>
      <c r="I27" s="26">
        <f t="shared" si="2"/>
        <v>9569700.3333333321</v>
      </c>
      <c r="J27" s="3"/>
      <c r="K27" s="41">
        <f t="shared" si="3"/>
        <v>1205.5555555555554</v>
      </c>
      <c r="L27" s="16"/>
      <c r="M27" s="37">
        <v>60277.777777777774</v>
      </c>
    </row>
    <row r="28" spans="1:13" ht="15.75">
      <c r="A28" s="30" t="s">
        <v>198</v>
      </c>
      <c r="B28" s="31" t="s">
        <v>46</v>
      </c>
      <c r="C28" s="33">
        <v>150</v>
      </c>
      <c r="D28" s="30" t="s">
        <v>166</v>
      </c>
      <c r="E28" s="37">
        <f t="shared" si="0"/>
        <v>45914.81481481481</v>
      </c>
      <c r="F28" s="27">
        <f t="shared" si="4"/>
        <v>6887222.2222222211</v>
      </c>
      <c r="G28" s="38">
        <v>0.08</v>
      </c>
      <c r="H28" s="26">
        <f t="shared" si="1"/>
        <v>550978</v>
      </c>
      <c r="I28" s="26">
        <f t="shared" si="2"/>
        <v>7438200.2222222211</v>
      </c>
      <c r="J28" s="3"/>
      <c r="K28" s="41">
        <f t="shared" si="3"/>
        <v>937.03703703703695</v>
      </c>
      <c r="L28" s="16"/>
      <c r="M28" s="37">
        <v>46851.851851851847</v>
      </c>
    </row>
    <row r="29" spans="1:13" ht="15.75">
      <c r="A29" s="30" t="s">
        <v>199</v>
      </c>
      <c r="B29" s="31" t="s">
        <v>47</v>
      </c>
      <c r="C29" s="33">
        <v>20</v>
      </c>
      <c r="D29" s="30" t="s">
        <v>167</v>
      </c>
      <c r="E29" s="37">
        <f t="shared" si="0"/>
        <v>15788.888888888887</v>
      </c>
      <c r="F29" s="27">
        <f t="shared" si="4"/>
        <v>315777.77777777775</v>
      </c>
      <c r="G29" s="38">
        <v>0.08</v>
      </c>
      <c r="H29" s="26">
        <f t="shared" si="1"/>
        <v>25262</v>
      </c>
      <c r="I29" s="26">
        <f t="shared" si="2"/>
        <v>341039.77777777775</v>
      </c>
      <c r="J29" s="3"/>
      <c r="K29" s="41">
        <f t="shared" si="3"/>
        <v>322.22222222222217</v>
      </c>
      <c r="L29" s="16"/>
      <c r="M29" s="37">
        <v>16111.111111111109</v>
      </c>
    </row>
    <row r="30" spans="1:13" ht="15.75">
      <c r="A30" s="30" t="s">
        <v>200</v>
      </c>
      <c r="B30" s="31" t="s">
        <v>48</v>
      </c>
      <c r="C30" s="33">
        <v>20</v>
      </c>
      <c r="D30" s="30" t="s">
        <v>167</v>
      </c>
      <c r="E30" s="37">
        <f t="shared" si="0"/>
        <v>9210.1851851851843</v>
      </c>
      <c r="F30" s="27">
        <f t="shared" si="4"/>
        <v>184203.70370370368</v>
      </c>
      <c r="G30" s="38">
        <v>0.08</v>
      </c>
      <c r="H30" s="26">
        <f t="shared" si="1"/>
        <v>14736</v>
      </c>
      <c r="I30" s="26">
        <f t="shared" si="2"/>
        <v>198939.70370370368</v>
      </c>
      <c r="J30" s="3"/>
      <c r="K30" s="41">
        <f t="shared" si="3"/>
        <v>187.96296296296296</v>
      </c>
      <c r="L30" s="16"/>
      <c r="M30" s="37">
        <v>9398.1481481481478</v>
      </c>
    </row>
    <row r="31" spans="1:13" ht="15.75">
      <c r="A31" s="30" t="s">
        <v>201</v>
      </c>
      <c r="B31" s="31" t="s">
        <v>49</v>
      </c>
      <c r="C31" s="33">
        <v>75.180000000000007</v>
      </c>
      <c r="D31" s="30" t="s">
        <v>168</v>
      </c>
      <c r="E31" s="37">
        <f t="shared" si="0"/>
        <v>63155.555555555547</v>
      </c>
      <c r="F31" s="27">
        <f t="shared" si="4"/>
        <v>4748034.666666666</v>
      </c>
      <c r="G31" s="38">
        <v>0.08</v>
      </c>
      <c r="H31" s="26">
        <f t="shared" si="1"/>
        <v>379843</v>
      </c>
      <c r="I31" s="26">
        <f t="shared" si="2"/>
        <v>5127877.666666666</v>
      </c>
      <c r="J31" s="3"/>
      <c r="K31" s="41">
        <f t="shared" si="3"/>
        <v>1288.8888888888887</v>
      </c>
      <c r="L31" s="16"/>
      <c r="M31" s="37">
        <v>64444.444444444438</v>
      </c>
    </row>
    <row r="32" spans="1:13" ht="15.75">
      <c r="A32" s="30" t="s">
        <v>202</v>
      </c>
      <c r="B32" s="31" t="s">
        <v>50</v>
      </c>
      <c r="C32" s="33">
        <v>37.700000000000003</v>
      </c>
      <c r="D32" s="30" t="s">
        <v>168</v>
      </c>
      <c r="E32" s="37">
        <f t="shared" si="0"/>
        <v>63155.555555555547</v>
      </c>
      <c r="F32" s="27">
        <f t="shared" si="4"/>
        <v>2380964.4444444445</v>
      </c>
      <c r="G32" s="38">
        <v>0.08</v>
      </c>
      <c r="H32" s="26">
        <f t="shared" si="1"/>
        <v>190477</v>
      </c>
      <c r="I32" s="26">
        <f t="shared" si="2"/>
        <v>2571441.4444444445</v>
      </c>
      <c r="J32" s="3"/>
      <c r="K32" s="41">
        <f t="shared" si="3"/>
        <v>1288.8888888888887</v>
      </c>
      <c r="L32" s="16"/>
      <c r="M32" s="37">
        <v>64444.444444444438</v>
      </c>
    </row>
    <row r="33" spans="1:13" ht="15.75">
      <c r="A33" s="30" t="s">
        <v>29</v>
      </c>
      <c r="B33" s="31" t="s">
        <v>51</v>
      </c>
      <c r="C33" s="33">
        <v>41.92</v>
      </c>
      <c r="D33" s="30" t="s">
        <v>168</v>
      </c>
      <c r="E33" s="37">
        <f t="shared" si="0"/>
        <v>63155.555555555547</v>
      </c>
      <c r="F33" s="27">
        <f t="shared" si="4"/>
        <v>2647480.8888888885</v>
      </c>
      <c r="G33" s="38">
        <v>0.08</v>
      </c>
      <c r="H33" s="26">
        <f t="shared" si="1"/>
        <v>211798</v>
      </c>
      <c r="I33" s="26">
        <f t="shared" si="2"/>
        <v>2859278.8888888885</v>
      </c>
      <c r="J33" s="3"/>
      <c r="K33" s="41">
        <f t="shared" si="3"/>
        <v>1288.8888888888887</v>
      </c>
      <c r="L33" s="16"/>
      <c r="M33" s="37">
        <v>64444.444444444438</v>
      </c>
    </row>
    <row r="34" spans="1:13" ht="15.75">
      <c r="A34" s="30" t="s">
        <v>203</v>
      </c>
      <c r="B34" s="31" t="s">
        <v>52</v>
      </c>
      <c r="C34" s="33">
        <v>16</v>
      </c>
      <c r="D34" s="30" t="s">
        <v>1</v>
      </c>
      <c r="E34" s="37">
        <f t="shared" si="0"/>
        <v>23683.333333333332</v>
      </c>
      <c r="F34" s="27">
        <f t="shared" si="4"/>
        <v>378933.33333333331</v>
      </c>
      <c r="G34" s="38">
        <v>0.08</v>
      </c>
      <c r="H34" s="26">
        <f t="shared" si="1"/>
        <v>30315</v>
      </c>
      <c r="I34" s="26">
        <f t="shared" si="2"/>
        <v>409248.33333333331</v>
      </c>
      <c r="J34" s="3"/>
      <c r="K34" s="41">
        <f t="shared" si="3"/>
        <v>483.33333333333331</v>
      </c>
      <c r="L34" s="16"/>
      <c r="M34" s="37">
        <v>24166.666666666664</v>
      </c>
    </row>
    <row r="35" spans="1:13" ht="15.75">
      <c r="A35" s="30" t="s">
        <v>204</v>
      </c>
      <c r="B35" s="31" t="s">
        <v>53</v>
      </c>
      <c r="C35" s="33">
        <v>1</v>
      </c>
      <c r="D35" s="30" t="s">
        <v>169</v>
      </c>
      <c r="E35" s="37">
        <f t="shared" si="0"/>
        <v>14155555.555555556</v>
      </c>
      <c r="F35" s="27">
        <f t="shared" si="4"/>
        <v>14155555.555555556</v>
      </c>
      <c r="G35" s="38">
        <v>0.08</v>
      </c>
      <c r="H35" s="26">
        <f t="shared" si="1"/>
        <v>1132444</v>
      </c>
      <c r="I35" s="26">
        <f t="shared" si="2"/>
        <v>15287999.555555556</v>
      </c>
      <c r="J35" s="3"/>
      <c r="K35" s="41">
        <f t="shared" si="3"/>
        <v>288888.88888888888</v>
      </c>
      <c r="L35" s="16"/>
      <c r="M35" s="37">
        <v>14444444.444444444</v>
      </c>
    </row>
    <row r="36" spans="1:13" ht="15.75">
      <c r="A36" s="30" t="s">
        <v>205</v>
      </c>
      <c r="B36" s="31" t="s">
        <v>54</v>
      </c>
      <c r="C36" s="33">
        <v>1</v>
      </c>
      <c r="D36" s="30" t="s">
        <v>170</v>
      </c>
      <c r="E36" s="37">
        <f t="shared" si="0"/>
        <v>2434120.3703703703</v>
      </c>
      <c r="F36" s="27">
        <f t="shared" si="4"/>
        <v>2434120.3703703703</v>
      </c>
      <c r="G36" s="38">
        <v>0.08</v>
      </c>
      <c r="H36" s="26">
        <f t="shared" si="1"/>
        <v>194730</v>
      </c>
      <c r="I36" s="26">
        <f t="shared" si="2"/>
        <v>2628850.3703703703</v>
      </c>
      <c r="J36" s="3"/>
      <c r="K36" s="41">
        <f t="shared" si="3"/>
        <v>49675.925925925927</v>
      </c>
      <c r="L36" s="16"/>
      <c r="M36" s="37">
        <v>2483796.2962962962</v>
      </c>
    </row>
    <row r="37" spans="1:13" s="53" customFormat="1" ht="31.5">
      <c r="A37" s="44" t="s">
        <v>127</v>
      </c>
      <c r="B37" s="45" t="s">
        <v>759</v>
      </c>
      <c r="C37" s="46">
        <v>300</v>
      </c>
      <c r="D37" s="44" t="s">
        <v>166</v>
      </c>
      <c r="E37" s="114">
        <v>10000</v>
      </c>
      <c r="F37" s="48">
        <f t="shared" si="4"/>
        <v>3000000</v>
      </c>
      <c r="G37" s="49">
        <v>0.08</v>
      </c>
      <c r="H37" s="50">
        <f t="shared" si="1"/>
        <v>240000</v>
      </c>
      <c r="I37" s="50">
        <f t="shared" si="2"/>
        <v>3240000</v>
      </c>
      <c r="J37" s="43" t="s">
        <v>761</v>
      </c>
      <c r="K37" s="51">
        <f t="shared" si="3"/>
        <v>1420.3703703703702</v>
      </c>
      <c r="L37" s="52"/>
      <c r="M37" s="47">
        <v>71018.518518518511</v>
      </c>
    </row>
    <row r="38" spans="1:13" s="53" customFormat="1" ht="31.5">
      <c r="A38" s="44" t="s">
        <v>136</v>
      </c>
      <c r="B38" s="45" t="s">
        <v>760</v>
      </c>
      <c r="C38" s="46">
        <v>350</v>
      </c>
      <c r="D38" s="44" t="s">
        <v>166</v>
      </c>
      <c r="E38" s="114">
        <v>8000</v>
      </c>
      <c r="F38" s="48">
        <f t="shared" si="4"/>
        <v>2800000</v>
      </c>
      <c r="G38" s="49">
        <v>0.08</v>
      </c>
      <c r="H38" s="50">
        <f t="shared" si="1"/>
        <v>224000</v>
      </c>
      <c r="I38" s="50">
        <f t="shared" si="2"/>
        <v>3024000</v>
      </c>
      <c r="J38" s="43" t="s">
        <v>761</v>
      </c>
      <c r="K38" s="51">
        <f t="shared" si="3"/>
        <v>1205.5555555555554</v>
      </c>
      <c r="L38" s="52"/>
      <c r="M38" s="47">
        <v>60277.777777777774</v>
      </c>
    </row>
    <row r="39" spans="1:13" ht="15.75">
      <c r="A39" s="30" t="s">
        <v>147</v>
      </c>
      <c r="B39" s="31" t="s">
        <v>55</v>
      </c>
      <c r="C39" s="33">
        <v>150</v>
      </c>
      <c r="D39" s="30" t="s">
        <v>166</v>
      </c>
      <c r="E39" s="37">
        <f t="shared" si="0"/>
        <v>28946.296296296296</v>
      </c>
      <c r="F39" s="27">
        <f t="shared" si="4"/>
        <v>4341944.444444444</v>
      </c>
      <c r="G39" s="38">
        <v>0.08</v>
      </c>
      <c r="H39" s="26">
        <f t="shared" si="1"/>
        <v>347356</v>
      </c>
      <c r="I39" s="26">
        <f t="shared" si="2"/>
        <v>4689300.444444444</v>
      </c>
      <c r="J39" s="3"/>
      <c r="K39" s="41">
        <f t="shared" si="3"/>
        <v>590.74074074074076</v>
      </c>
      <c r="L39" s="16"/>
      <c r="M39" s="37">
        <v>29537.037037037036</v>
      </c>
    </row>
    <row r="40" spans="1:13" ht="15.75">
      <c r="A40" s="28" t="s">
        <v>208</v>
      </c>
      <c r="B40" s="29" t="s">
        <v>56</v>
      </c>
      <c r="C40" s="33"/>
      <c r="D40" s="30"/>
      <c r="E40" s="37">
        <f t="shared" si="0"/>
        <v>0</v>
      </c>
      <c r="F40" s="27"/>
      <c r="G40" s="38"/>
      <c r="H40" s="26"/>
      <c r="I40" s="26"/>
      <c r="J40" s="3"/>
      <c r="K40" s="41">
        <f t="shared" si="3"/>
        <v>0</v>
      </c>
      <c r="L40" s="16"/>
      <c r="M40" s="37"/>
    </row>
    <row r="41" spans="1:13" ht="15.75">
      <c r="A41" s="30" t="s">
        <v>184</v>
      </c>
      <c r="B41" s="31" t="s">
        <v>57</v>
      </c>
      <c r="C41" s="33">
        <v>20</v>
      </c>
      <c r="D41" s="30" t="s">
        <v>164</v>
      </c>
      <c r="E41" s="37">
        <f t="shared" si="0"/>
        <v>368407.40740740736</v>
      </c>
      <c r="F41" s="27">
        <f t="shared" ref="F41:F53" si="5">E41*C41</f>
        <v>7368148.1481481474</v>
      </c>
      <c r="G41" s="38">
        <v>0.08</v>
      </c>
      <c r="H41" s="26">
        <f t="shared" si="1"/>
        <v>589452</v>
      </c>
      <c r="I41" s="26">
        <f t="shared" si="2"/>
        <v>7957600.1481481474</v>
      </c>
      <c r="J41" s="3"/>
      <c r="K41" s="41">
        <f t="shared" si="3"/>
        <v>7518.5185185185182</v>
      </c>
      <c r="L41" s="16"/>
      <c r="M41" s="37">
        <v>375925.9259259259</v>
      </c>
    </row>
    <row r="42" spans="1:13" ht="15.75">
      <c r="A42" s="30" t="s">
        <v>185</v>
      </c>
      <c r="B42" s="31" t="s">
        <v>58</v>
      </c>
      <c r="C42" s="33">
        <v>150</v>
      </c>
      <c r="D42" s="30" t="s">
        <v>166</v>
      </c>
      <c r="E42" s="37">
        <f t="shared" si="0"/>
        <v>243412.03703703702</v>
      </c>
      <c r="F42" s="27">
        <f t="shared" si="5"/>
        <v>36511805.555555552</v>
      </c>
      <c r="G42" s="38">
        <v>0.08</v>
      </c>
      <c r="H42" s="26">
        <f t="shared" si="1"/>
        <v>2920944</v>
      </c>
      <c r="I42" s="26">
        <f t="shared" si="2"/>
        <v>39432749.555555552</v>
      </c>
      <c r="J42" s="3"/>
      <c r="K42" s="41">
        <f t="shared" si="3"/>
        <v>4967.5925925925922</v>
      </c>
      <c r="L42" s="16"/>
      <c r="M42" s="37">
        <v>248379.62962962961</v>
      </c>
    </row>
    <row r="43" spans="1:13" ht="15.75">
      <c r="A43" s="30" t="s">
        <v>186</v>
      </c>
      <c r="B43" s="31" t="s">
        <v>59</v>
      </c>
      <c r="C43" s="33">
        <v>20</v>
      </c>
      <c r="D43" s="30" t="s">
        <v>161</v>
      </c>
      <c r="E43" s="37">
        <f t="shared" si="0"/>
        <v>261832.40740740739</v>
      </c>
      <c r="F43" s="27">
        <f t="shared" si="5"/>
        <v>5236648.1481481474</v>
      </c>
      <c r="G43" s="38">
        <v>0.08</v>
      </c>
      <c r="H43" s="26">
        <f t="shared" si="1"/>
        <v>418932</v>
      </c>
      <c r="I43" s="26">
        <f t="shared" si="2"/>
        <v>5655580.1481481474</v>
      </c>
      <c r="J43" s="3"/>
      <c r="K43" s="41">
        <f t="shared" si="3"/>
        <v>5343.5185185185182</v>
      </c>
      <c r="L43" s="16"/>
      <c r="M43" s="37">
        <v>267175.9259259259</v>
      </c>
    </row>
    <row r="44" spans="1:13" ht="15.75">
      <c r="A44" s="30" t="s">
        <v>187</v>
      </c>
      <c r="B44" s="31" t="s">
        <v>60</v>
      </c>
      <c r="C44" s="33">
        <v>10</v>
      </c>
      <c r="D44" s="30" t="s">
        <v>171</v>
      </c>
      <c r="E44" s="37">
        <f t="shared" si="0"/>
        <v>348671.29629629629</v>
      </c>
      <c r="F44" s="27">
        <f t="shared" si="5"/>
        <v>3486712.9629629627</v>
      </c>
      <c r="G44" s="38">
        <v>0.08</v>
      </c>
      <c r="H44" s="26">
        <f t="shared" si="1"/>
        <v>278937</v>
      </c>
      <c r="I44" s="26">
        <f t="shared" si="2"/>
        <v>3765649.9629629627</v>
      </c>
      <c r="J44" s="3"/>
      <c r="K44" s="41">
        <f t="shared" si="3"/>
        <v>7115.7407407407409</v>
      </c>
      <c r="L44" s="16"/>
      <c r="M44" s="37">
        <v>355787.03703703702</v>
      </c>
    </row>
    <row r="45" spans="1:13" ht="15.75">
      <c r="A45" s="30" t="s">
        <v>188</v>
      </c>
      <c r="B45" s="31" t="s">
        <v>61</v>
      </c>
      <c r="C45" s="33">
        <v>200</v>
      </c>
      <c r="D45" s="30" t="s">
        <v>166</v>
      </c>
      <c r="E45" s="37">
        <f t="shared" si="0"/>
        <v>72365.74074074073</v>
      </c>
      <c r="F45" s="27">
        <f t="shared" si="5"/>
        <v>14473148.148148146</v>
      </c>
      <c r="G45" s="38">
        <v>0.08</v>
      </c>
      <c r="H45" s="26">
        <f t="shared" si="1"/>
        <v>1157852</v>
      </c>
      <c r="I45" s="26">
        <f t="shared" si="2"/>
        <v>15631000.148148146</v>
      </c>
      <c r="J45" s="3"/>
      <c r="K45" s="41">
        <f t="shared" si="3"/>
        <v>1476.8518518518517</v>
      </c>
      <c r="L45" s="16"/>
      <c r="M45" s="37">
        <v>73842.592592592584</v>
      </c>
    </row>
    <row r="46" spans="1:13" ht="15.75">
      <c r="A46" s="30" t="s">
        <v>189</v>
      </c>
      <c r="B46" s="31" t="s">
        <v>62</v>
      </c>
      <c r="C46" s="34">
        <v>25</v>
      </c>
      <c r="D46" s="40" t="s">
        <v>172</v>
      </c>
      <c r="E46" s="37">
        <f t="shared" si="0"/>
        <v>855231.48148148146</v>
      </c>
      <c r="F46" s="27">
        <f t="shared" si="5"/>
        <v>21380787.037037037</v>
      </c>
      <c r="G46" s="38">
        <v>0.08</v>
      </c>
      <c r="H46" s="26">
        <f t="shared" si="1"/>
        <v>1710463</v>
      </c>
      <c r="I46" s="26">
        <f t="shared" si="2"/>
        <v>23091250.037037037</v>
      </c>
      <c r="J46" s="3"/>
      <c r="K46" s="41">
        <f t="shared" si="3"/>
        <v>17453.703703703704</v>
      </c>
      <c r="L46" s="16"/>
      <c r="M46" s="37">
        <v>872685.18518518517</v>
      </c>
    </row>
    <row r="47" spans="1:13" ht="15.75">
      <c r="A47" s="30" t="s">
        <v>190</v>
      </c>
      <c r="B47" s="31" t="s">
        <v>63</v>
      </c>
      <c r="C47" s="34">
        <v>0.75</v>
      </c>
      <c r="D47" s="40" t="s">
        <v>173</v>
      </c>
      <c r="E47" s="37">
        <f t="shared" si="0"/>
        <v>2540740.7407407407</v>
      </c>
      <c r="F47" s="27">
        <f t="shared" si="5"/>
        <v>1905555.5555555555</v>
      </c>
      <c r="G47" s="38">
        <v>0.08</v>
      </c>
      <c r="H47" s="26">
        <f t="shared" si="1"/>
        <v>152444</v>
      </c>
      <c r="I47" s="26">
        <f t="shared" si="2"/>
        <v>2057999.5555555555</v>
      </c>
      <c r="J47" s="3"/>
      <c r="K47" s="41">
        <f t="shared" si="3"/>
        <v>51851.851851851847</v>
      </c>
      <c r="L47" s="16"/>
      <c r="M47" s="37">
        <v>2592592.5925925924</v>
      </c>
    </row>
    <row r="48" spans="1:13" ht="15.75">
      <c r="A48" s="30" t="s">
        <v>23</v>
      </c>
      <c r="B48" s="31" t="s">
        <v>64</v>
      </c>
      <c r="C48" s="34">
        <v>1.8</v>
      </c>
      <c r="D48" s="40" t="s">
        <v>173</v>
      </c>
      <c r="E48" s="37">
        <f t="shared" si="0"/>
        <v>2812962.9629629632</v>
      </c>
      <c r="F48" s="27">
        <f t="shared" si="5"/>
        <v>5063333.333333334</v>
      </c>
      <c r="G48" s="38">
        <v>0.08</v>
      </c>
      <c r="H48" s="26">
        <f t="shared" si="1"/>
        <v>405067</v>
      </c>
      <c r="I48" s="26">
        <f t="shared" si="2"/>
        <v>5468400.333333334</v>
      </c>
      <c r="J48" s="3"/>
      <c r="K48" s="41">
        <f t="shared" si="3"/>
        <v>57407.407407407409</v>
      </c>
      <c r="L48" s="16"/>
      <c r="M48" s="37">
        <v>2870370.3703703703</v>
      </c>
    </row>
    <row r="49" spans="1:13" ht="15.75">
      <c r="A49" s="30" t="s">
        <v>191</v>
      </c>
      <c r="B49" s="31" t="s">
        <v>65</v>
      </c>
      <c r="C49" s="34">
        <v>20</v>
      </c>
      <c r="D49" s="40" t="s">
        <v>168</v>
      </c>
      <c r="E49" s="37">
        <f t="shared" si="0"/>
        <v>85523.148148148146</v>
      </c>
      <c r="F49" s="27">
        <f t="shared" si="5"/>
        <v>1710462.9629629629</v>
      </c>
      <c r="G49" s="38">
        <v>0.08</v>
      </c>
      <c r="H49" s="26">
        <f t="shared" si="1"/>
        <v>136837</v>
      </c>
      <c r="I49" s="26">
        <f t="shared" si="2"/>
        <v>1847299.9629629629</v>
      </c>
      <c r="J49" s="3"/>
      <c r="K49" s="41">
        <f t="shared" si="3"/>
        <v>1745.3703703703702</v>
      </c>
      <c r="L49" s="16"/>
      <c r="M49" s="37">
        <v>87268.518518518511</v>
      </c>
    </row>
    <row r="50" spans="1:13" ht="15.75">
      <c r="A50" s="30" t="s">
        <v>192</v>
      </c>
      <c r="B50" s="31" t="s">
        <v>66</v>
      </c>
      <c r="C50" s="34">
        <v>20.3</v>
      </c>
      <c r="D50" s="40" t="s">
        <v>168</v>
      </c>
      <c r="E50" s="37">
        <f t="shared" si="0"/>
        <v>72365.74074074073</v>
      </c>
      <c r="F50" s="27">
        <f t="shared" si="5"/>
        <v>1469024.5370370368</v>
      </c>
      <c r="G50" s="38">
        <v>0.08</v>
      </c>
      <c r="H50" s="26">
        <f t="shared" si="1"/>
        <v>117522</v>
      </c>
      <c r="I50" s="26">
        <f t="shared" si="2"/>
        <v>1586546.5370370368</v>
      </c>
      <c r="J50" s="3"/>
      <c r="K50" s="41">
        <f t="shared" si="3"/>
        <v>1476.8518518518517</v>
      </c>
      <c r="L50" s="16"/>
      <c r="M50" s="37">
        <v>73842.592592592584</v>
      </c>
    </row>
    <row r="51" spans="1:13" ht="15.75">
      <c r="A51" s="30" t="s">
        <v>193</v>
      </c>
      <c r="B51" s="31" t="s">
        <v>67</v>
      </c>
      <c r="C51" s="34">
        <v>20.3</v>
      </c>
      <c r="D51" s="40" t="s">
        <v>168</v>
      </c>
      <c r="E51" s="37">
        <f t="shared" si="0"/>
        <v>15788.888888888887</v>
      </c>
      <c r="F51" s="27">
        <f t="shared" si="5"/>
        <v>320514.44444444444</v>
      </c>
      <c r="G51" s="38">
        <v>0.08</v>
      </c>
      <c r="H51" s="26">
        <f t="shared" si="1"/>
        <v>25641</v>
      </c>
      <c r="I51" s="26">
        <f t="shared" si="2"/>
        <v>346155.44444444444</v>
      </c>
      <c r="J51" s="3"/>
      <c r="K51" s="41">
        <f t="shared" si="3"/>
        <v>322.22222222222217</v>
      </c>
      <c r="L51" s="16"/>
      <c r="M51" s="37">
        <v>16111.111111111109</v>
      </c>
    </row>
    <row r="52" spans="1:13" ht="15.75">
      <c r="A52" s="30" t="s">
        <v>194</v>
      </c>
      <c r="B52" s="31" t="s">
        <v>68</v>
      </c>
      <c r="C52" s="34">
        <v>3</v>
      </c>
      <c r="D52" s="40" t="s">
        <v>174</v>
      </c>
      <c r="E52" s="37">
        <f t="shared" si="0"/>
        <v>157888.88888888888</v>
      </c>
      <c r="F52" s="27">
        <f t="shared" si="5"/>
        <v>473666.66666666663</v>
      </c>
      <c r="G52" s="38">
        <v>0.08</v>
      </c>
      <c r="H52" s="26">
        <f t="shared" si="1"/>
        <v>37893</v>
      </c>
      <c r="I52" s="26">
        <f t="shared" si="2"/>
        <v>511559.66666666663</v>
      </c>
      <c r="J52" s="3"/>
      <c r="K52" s="41">
        <f t="shared" si="3"/>
        <v>3222.2222222222222</v>
      </c>
      <c r="L52" s="16"/>
      <c r="M52" s="37">
        <v>161111.11111111109</v>
      </c>
    </row>
    <row r="53" spans="1:13" ht="15.75">
      <c r="A53" s="30" t="s">
        <v>195</v>
      </c>
      <c r="B53" s="31" t="s">
        <v>69</v>
      </c>
      <c r="C53" s="34">
        <v>25</v>
      </c>
      <c r="D53" s="40" t="s">
        <v>172</v>
      </c>
      <c r="E53" s="37">
        <f t="shared" si="0"/>
        <v>592083.33333333326</v>
      </c>
      <c r="F53" s="27">
        <f t="shared" si="5"/>
        <v>14802083.333333332</v>
      </c>
      <c r="G53" s="38">
        <v>0.08</v>
      </c>
      <c r="H53" s="26">
        <f t="shared" si="1"/>
        <v>1184167</v>
      </c>
      <c r="I53" s="26">
        <f t="shared" si="2"/>
        <v>15986250.333333332</v>
      </c>
      <c r="J53" s="3"/>
      <c r="K53" s="41">
        <f t="shared" si="3"/>
        <v>12083.333333333332</v>
      </c>
      <c r="L53" s="16"/>
      <c r="M53" s="37">
        <v>604166.66666666663</v>
      </c>
    </row>
    <row r="54" spans="1:13" ht="15.75">
      <c r="A54" s="28" t="s">
        <v>209</v>
      </c>
      <c r="B54" s="29" t="s">
        <v>70</v>
      </c>
      <c r="C54" s="34"/>
      <c r="D54" s="40"/>
      <c r="E54" s="37">
        <f t="shared" si="0"/>
        <v>0</v>
      </c>
      <c r="F54" s="27"/>
      <c r="G54" s="38"/>
      <c r="H54" s="26"/>
      <c r="I54" s="26"/>
      <c r="J54" s="3"/>
      <c r="K54" s="41">
        <f t="shared" si="3"/>
        <v>0</v>
      </c>
      <c r="L54" s="16"/>
      <c r="M54" s="37"/>
    </row>
    <row r="55" spans="1:13" ht="15.75">
      <c r="A55" s="30" t="s">
        <v>184</v>
      </c>
      <c r="B55" s="31" t="s">
        <v>71</v>
      </c>
      <c r="C55" s="34">
        <v>3</v>
      </c>
      <c r="D55" s="40" t="s">
        <v>172</v>
      </c>
      <c r="E55" s="37">
        <f t="shared" si="0"/>
        <v>1249953.7037037036</v>
      </c>
      <c r="F55" s="27">
        <f t="shared" ref="F55:F64" si="6">E55*C55</f>
        <v>3749861.111111111</v>
      </c>
      <c r="G55" s="38">
        <v>0.08</v>
      </c>
      <c r="H55" s="26">
        <f t="shared" si="1"/>
        <v>299989</v>
      </c>
      <c r="I55" s="26">
        <f t="shared" si="2"/>
        <v>4049850.111111111</v>
      </c>
      <c r="J55" s="3"/>
      <c r="K55" s="41">
        <f t="shared" si="3"/>
        <v>25509.259259259259</v>
      </c>
      <c r="L55" s="16"/>
      <c r="M55" s="37">
        <v>1275462.9629629629</v>
      </c>
    </row>
    <row r="56" spans="1:13" ht="15.75">
      <c r="A56" s="30" t="s">
        <v>185</v>
      </c>
      <c r="B56" s="31" t="s">
        <v>72</v>
      </c>
      <c r="C56" s="34">
        <v>0.2</v>
      </c>
      <c r="D56" s="40" t="s">
        <v>173</v>
      </c>
      <c r="E56" s="37">
        <f t="shared" si="0"/>
        <v>2540740.7407407407</v>
      </c>
      <c r="F56" s="27">
        <f t="shared" si="6"/>
        <v>508148.14814814815</v>
      </c>
      <c r="G56" s="38">
        <v>0.08</v>
      </c>
      <c r="H56" s="26">
        <f t="shared" si="1"/>
        <v>40652</v>
      </c>
      <c r="I56" s="26">
        <f t="shared" si="2"/>
        <v>548800.14814814809</v>
      </c>
      <c r="J56" s="3"/>
      <c r="K56" s="41">
        <f t="shared" si="3"/>
        <v>51851.851851851847</v>
      </c>
      <c r="L56" s="16"/>
      <c r="M56" s="37">
        <v>2592592.5925925924</v>
      </c>
    </row>
    <row r="57" spans="1:13" ht="15.75">
      <c r="A57" s="30" t="s">
        <v>186</v>
      </c>
      <c r="B57" s="31" t="s">
        <v>64</v>
      </c>
      <c r="C57" s="34">
        <v>0.4</v>
      </c>
      <c r="D57" s="40" t="s">
        <v>173</v>
      </c>
      <c r="E57" s="37">
        <f t="shared" si="0"/>
        <v>2812962.9629629632</v>
      </c>
      <c r="F57" s="27">
        <f t="shared" si="6"/>
        <v>1125185.1851851854</v>
      </c>
      <c r="G57" s="38">
        <v>0.08</v>
      </c>
      <c r="H57" s="26">
        <f t="shared" si="1"/>
        <v>90015</v>
      </c>
      <c r="I57" s="26">
        <f t="shared" si="2"/>
        <v>1215200.1851851854</v>
      </c>
      <c r="J57" s="3"/>
      <c r="K57" s="41">
        <f t="shared" si="3"/>
        <v>57407.407407407409</v>
      </c>
      <c r="L57" s="16"/>
      <c r="M57" s="37">
        <v>2870370.3703703703</v>
      </c>
    </row>
    <row r="58" spans="1:13" ht="15.75">
      <c r="A58" s="30" t="s">
        <v>187</v>
      </c>
      <c r="B58" s="31" t="s">
        <v>73</v>
      </c>
      <c r="C58" s="34">
        <v>15.3</v>
      </c>
      <c r="D58" s="40" t="s">
        <v>168</v>
      </c>
      <c r="E58" s="37">
        <f t="shared" si="0"/>
        <v>32893.518518518511</v>
      </c>
      <c r="F58" s="27">
        <f t="shared" si="6"/>
        <v>503270.83333333326</v>
      </c>
      <c r="G58" s="38">
        <v>0.08</v>
      </c>
      <c r="H58" s="26">
        <f t="shared" si="1"/>
        <v>40262</v>
      </c>
      <c r="I58" s="26">
        <f t="shared" si="2"/>
        <v>543532.83333333326</v>
      </c>
      <c r="J58" s="3"/>
      <c r="K58" s="41">
        <f t="shared" si="3"/>
        <v>671.29629629629619</v>
      </c>
      <c r="L58" s="16"/>
      <c r="M58" s="37">
        <v>33564.81481481481</v>
      </c>
    </row>
    <row r="59" spans="1:13" ht="15.75">
      <c r="A59" s="30" t="s">
        <v>188</v>
      </c>
      <c r="B59" s="31" t="s">
        <v>74</v>
      </c>
      <c r="C59" s="34">
        <v>12.8</v>
      </c>
      <c r="D59" s="40" t="s">
        <v>168</v>
      </c>
      <c r="E59" s="37">
        <f t="shared" si="0"/>
        <v>32893.518518518511</v>
      </c>
      <c r="F59" s="27">
        <f t="shared" si="6"/>
        <v>421037.03703703696</v>
      </c>
      <c r="G59" s="38">
        <v>0.08</v>
      </c>
      <c r="H59" s="26">
        <f t="shared" si="1"/>
        <v>33683</v>
      </c>
      <c r="I59" s="26">
        <f t="shared" si="2"/>
        <v>454720.03703703696</v>
      </c>
      <c r="J59" s="3"/>
      <c r="K59" s="41">
        <f t="shared" si="3"/>
        <v>671.29629629629619</v>
      </c>
      <c r="L59" s="16"/>
      <c r="M59" s="37">
        <v>33564.81481481481</v>
      </c>
    </row>
    <row r="60" spans="1:13" ht="15.75">
      <c r="A60" s="30" t="s">
        <v>189</v>
      </c>
      <c r="B60" s="31" t="s">
        <v>75</v>
      </c>
      <c r="C60" s="34">
        <v>0.32</v>
      </c>
      <c r="D60" s="40" t="s">
        <v>174</v>
      </c>
      <c r="E60" s="37">
        <f t="shared" si="0"/>
        <v>157888.88888888888</v>
      </c>
      <c r="F60" s="27">
        <f t="shared" si="6"/>
        <v>50524.444444444438</v>
      </c>
      <c r="G60" s="38">
        <v>0.08</v>
      </c>
      <c r="H60" s="26">
        <f t="shared" si="1"/>
        <v>4042</v>
      </c>
      <c r="I60" s="26">
        <f t="shared" si="2"/>
        <v>54566.444444444438</v>
      </c>
      <c r="J60" s="3"/>
      <c r="K60" s="41">
        <f t="shared" si="3"/>
        <v>3222.2222222222222</v>
      </c>
      <c r="L60" s="16"/>
      <c r="M60" s="37">
        <v>161111.11111111109</v>
      </c>
    </row>
    <row r="61" spans="1:13" ht="15.75">
      <c r="A61" s="30" t="s">
        <v>190</v>
      </c>
      <c r="B61" s="31" t="s">
        <v>76</v>
      </c>
      <c r="C61" s="34">
        <v>1.2</v>
      </c>
      <c r="D61" s="40" t="s">
        <v>166</v>
      </c>
      <c r="E61" s="37">
        <f t="shared" si="0"/>
        <v>421037.03703703702</v>
      </c>
      <c r="F61" s="27">
        <f t="shared" si="6"/>
        <v>505244.44444444438</v>
      </c>
      <c r="G61" s="38">
        <v>0.08</v>
      </c>
      <c r="H61" s="26">
        <f t="shared" si="1"/>
        <v>40420</v>
      </c>
      <c r="I61" s="26">
        <f t="shared" si="2"/>
        <v>545664.44444444438</v>
      </c>
      <c r="J61" s="3"/>
      <c r="K61" s="41">
        <f t="shared" si="3"/>
        <v>8592.5925925925931</v>
      </c>
      <c r="L61" s="16"/>
      <c r="M61" s="37">
        <v>429629.62962962961</v>
      </c>
    </row>
    <row r="62" spans="1:13" ht="15.75">
      <c r="A62" s="30" t="s">
        <v>23</v>
      </c>
      <c r="B62" s="31" t="s">
        <v>77</v>
      </c>
      <c r="C62" s="34">
        <v>2</v>
      </c>
      <c r="D62" s="40" t="s">
        <v>175</v>
      </c>
      <c r="E62" s="37">
        <f t="shared" si="0"/>
        <v>282884.25925925927</v>
      </c>
      <c r="F62" s="27">
        <f t="shared" si="6"/>
        <v>565768.51851851854</v>
      </c>
      <c r="G62" s="38">
        <v>0.08</v>
      </c>
      <c r="H62" s="26">
        <f t="shared" si="1"/>
        <v>45261</v>
      </c>
      <c r="I62" s="26">
        <f t="shared" si="2"/>
        <v>611029.51851851854</v>
      </c>
      <c r="J62" s="3"/>
      <c r="K62" s="41">
        <f t="shared" si="3"/>
        <v>5773.1481481481487</v>
      </c>
      <c r="L62" s="16"/>
      <c r="M62" s="37">
        <v>288657.40740740742</v>
      </c>
    </row>
    <row r="63" spans="1:13" ht="15.75">
      <c r="A63" s="30" t="s">
        <v>191</v>
      </c>
      <c r="B63" s="31" t="s">
        <v>78</v>
      </c>
      <c r="C63" s="34">
        <v>9.6</v>
      </c>
      <c r="D63" s="40" t="s">
        <v>168</v>
      </c>
      <c r="E63" s="37">
        <f t="shared" si="0"/>
        <v>85523.148148148146</v>
      </c>
      <c r="F63" s="27">
        <f t="shared" si="6"/>
        <v>821022.22222222213</v>
      </c>
      <c r="G63" s="38">
        <v>0.08</v>
      </c>
      <c r="H63" s="26">
        <f t="shared" si="1"/>
        <v>65682</v>
      </c>
      <c r="I63" s="26">
        <f t="shared" si="2"/>
        <v>886704.22222222213</v>
      </c>
      <c r="J63" s="3"/>
      <c r="K63" s="41">
        <f t="shared" si="3"/>
        <v>1745.3703703703702</v>
      </c>
      <c r="L63" s="16"/>
      <c r="M63" s="37">
        <v>87268.518518518511</v>
      </c>
    </row>
    <row r="64" spans="1:13" ht="15.75">
      <c r="A64" s="30" t="s">
        <v>192</v>
      </c>
      <c r="B64" s="31" t="s">
        <v>69</v>
      </c>
      <c r="C64" s="34">
        <v>3</v>
      </c>
      <c r="D64" s="40" t="s">
        <v>172</v>
      </c>
      <c r="E64" s="37">
        <f t="shared" si="0"/>
        <v>592083.33333333326</v>
      </c>
      <c r="F64" s="27">
        <f t="shared" si="6"/>
        <v>1776249.9999999998</v>
      </c>
      <c r="G64" s="38">
        <v>0.08</v>
      </c>
      <c r="H64" s="26">
        <f t="shared" si="1"/>
        <v>142100</v>
      </c>
      <c r="I64" s="26">
        <f t="shared" si="2"/>
        <v>1918349.9999999998</v>
      </c>
      <c r="J64" s="3"/>
      <c r="K64" s="41">
        <f t="shared" si="3"/>
        <v>12083.333333333332</v>
      </c>
      <c r="L64" s="16"/>
      <c r="M64" s="37">
        <v>604166.66666666663</v>
      </c>
    </row>
    <row r="65" spans="1:13" ht="15.75">
      <c r="A65" s="28" t="s">
        <v>210</v>
      </c>
      <c r="B65" s="29" t="s">
        <v>79</v>
      </c>
      <c r="C65" s="34"/>
      <c r="D65" s="40"/>
      <c r="E65" s="37">
        <f t="shared" si="0"/>
        <v>0</v>
      </c>
      <c r="F65" s="27"/>
      <c r="G65" s="38"/>
      <c r="H65" s="26"/>
      <c r="I65" s="26"/>
      <c r="J65" s="3"/>
      <c r="K65" s="41">
        <f t="shared" si="3"/>
        <v>0</v>
      </c>
      <c r="L65" s="16"/>
      <c r="M65" s="37"/>
    </row>
    <row r="66" spans="1:13" ht="15.75">
      <c r="A66" s="30" t="s">
        <v>184</v>
      </c>
      <c r="B66" s="31" t="s">
        <v>62</v>
      </c>
      <c r="C66" s="34">
        <v>2</v>
      </c>
      <c r="D66" s="40" t="s">
        <v>172</v>
      </c>
      <c r="E66" s="37">
        <f t="shared" si="0"/>
        <v>1249953.7037037036</v>
      </c>
      <c r="F66" s="27">
        <f t="shared" ref="F66:F71" si="7">E66*C66</f>
        <v>2499907.4074074072</v>
      </c>
      <c r="G66" s="38">
        <v>0.08</v>
      </c>
      <c r="H66" s="26">
        <f t="shared" si="1"/>
        <v>199993</v>
      </c>
      <c r="I66" s="26">
        <f t="shared" si="2"/>
        <v>2699900.4074074072</v>
      </c>
      <c r="J66" s="3"/>
      <c r="K66" s="41">
        <f t="shared" si="3"/>
        <v>25509.259259259259</v>
      </c>
      <c r="L66" s="16"/>
      <c r="M66" s="37">
        <v>1275462.9629629629</v>
      </c>
    </row>
    <row r="67" spans="1:13" ht="15.75">
      <c r="A67" s="30" t="s">
        <v>185</v>
      </c>
      <c r="B67" s="31" t="s">
        <v>63</v>
      </c>
      <c r="C67" s="34">
        <v>7.4800000000000005E-2</v>
      </c>
      <c r="D67" s="40" t="s">
        <v>173</v>
      </c>
      <c r="E67" s="37">
        <f t="shared" si="0"/>
        <v>2540740.7407407407</v>
      </c>
      <c r="F67" s="27">
        <f t="shared" si="7"/>
        <v>190047.40740740742</v>
      </c>
      <c r="G67" s="38">
        <v>0.08</v>
      </c>
      <c r="H67" s="26">
        <f t="shared" si="1"/>
        <v>15204</v>
      </c>
      <c r="I67" s="26">
        <f t="shared" si="2"/>
        <v>205251.40740740742</v>
      </c>
      <c r="J67" s="3"/>
      <c r="K67" s="41">
        <f t="shared" si="3"/>
        <v>51851.851851851847</v>
      </c>
      <c r="L67" s="16"/>
      <c r="M67" s="37">
        <v>2592592.5925925924</v>
      </c>
    </row>
    <row r="68" spans="1:13" ht="15.75">
      <c r="A68" s="30" t="s">
        <v>186</v>
      </c>
      <c r="B68" s="31" t="s">
        <v>64</v>
      </c>
      <c r="C68" s="34">
        <v>9.5000000000000001E-2</v>
      </c>
      <c r="D68" s="40" t="s">
        <v>173</v>
      </c>
      <c r="E68" s="37">
        <f t="shared" si="0"/>
        <v>2812962.9629629632</v>
      </c>
      <c r="F68" s="27">
        <f t="shared" si="7"/>
        <v>267231.48148148152</v>
      </c>
      <c r="G68" s="38">
        <v>0.08</v>
      </c>
      <c r="H68" s="26">
        <f t="shared" si="1"/>
        <v>21379</v>
      </c>
      <c r="I68" s="26">
        <f t="shared" si="2"/>
        <v>288610.48148148152</v>
      </c>
      <c r="J68" s="3"/>
      <c r="K68" s="41">
        <f t="shared" si="3"/>
        <v>57407.407407407409</v>
      </c>
      <c r="L68" s="16"/>
      <c r="M68" s="37">
        <v>2870370.3703703703</v>
      </c>
    </row>
    <row r="69" spans="1:13" ht="15.75">
      <c r="A69" s="30" t="s">
        <v>187</v>
      </c>
      <c r="B69" s="31" t="s">
        <v>80</v>
      </c>
      <c r="C69" s="34">
        <v>0.38</v>
      </c>
      <c r="D69" s="40" t="s">
        <v>174</v>
      </c>
      <c r="E69" s="37">
        <f t="shared" si="0"/>
        <v>157888.88888888888</v>
      </c>
      <c r="F69" s="27">
        <f t="shared" si="7"/>
        <v>59997.777777777774</v>
      </c>
      <c r="G69" s="38">
        <v>0.08</v>
      </c>
      <c r="H69" s="26">
        <f t="shared" si="1"/>
        <v>4800</v>
      </c>
      <c r="I69" s="26">
        <f t="shared" si="2"/>
        <v>64797.777777777774</v>
      </c>
      <c r="J69" s="3"/>
      <c r="K69" s="41">
        <f t="shared" si="3"/>
        <v>3222.2222222222222</v>
      </c>
      <c r="L69" s="16"/>
      <c r="M69" s="37">
        <v>161111.11111111109</v>
      </c>
    </row>
    <row r="70" spans="1:13" ht="15.75">
      <c r="A70" s="30" t="s">
        <v>188</v>
      </c>
      <c r="B70" s="31" t="s">
        <v>81</v>
      </c>
      <c r="C70" s="34">
        <v>1.6</v>
      </c>
      <c r="D70" s="40" t="s">
        <v>168</v>
      </c>
      <c r="E70" s="37">
        <f t="shared" si="0"/>
        <v>85523.148148148146</v>
      </c>
      <c r="F70" s="27">
        <f t="shared" si="7"/>
        <v>136837.03703703705</v>
      </c>
      <c r="G70" s="38">
        <v>0.08</v>
      </c>
      <c r="H70" s="26">
        <f t="shared" si="1"/>
        <v>10947</v>
      </c>
      <c r="I70" s="26">
        <f t="shared" si="2"/>
        <v>147784.03703703705</v>
      </c>
      <c r="J70" s="3"/>
      <c r="K70" s="41">
        <f t="shared" si="3"/>
        <v>1745.3703703703702</v>
      </c>
      <c r="L70" s="16"/>
      <c r="M70" s="37">
        <v>87268.518518518511</v>
      </c>
    </row>
    <row r="71" spans="1:13" ht="15.75">
      <c r="A71" s="30" t="s">
        <v>189</v>
      </c>
      <c r="B71" s="31" t="s">
        <v>82</v>
      </c>
      <c r="C71" s="34">
        <v>2</v>
      </c>
      <c r="D71" s="40" t="s">
        <v>172</v>
      </c>
      <c r="E71" s="37">
        <f t="shared" si="0"/>
        <v>592083.33333333326</v>
      </c>
      <c r="F71" s="27">
        <f t="shared" si="7"/>
        <v>1184166.6666666665</v>
      </c>
      <c r="G71" s="38">
        <v>0.08</v>
      </c>
      <c r="H71" s="26">
        <f t="shared" si="1"/>
        <v>94733</v>
      </c>
      <c r="I71" s="26">
        <f t="shared" si="2"/>
        <v>1278899.6666666665</v>
      </c>
      <c r="J71" s="3"/>
      <c r="K71" s="41">
        <f t="shared" si="3"/>
        <v>12083.333333333332</v>
      </c>
      <c r="L71" s="16"/>
      <c r="M71" s="37">
        <v>604166.66666666663</v>
      </c>
    </row>
    <row r="72" spans="1:13" ht="31.5">
      <c r="A72" s="28" t="s">
        <v>211</v>
      </c>
      <c r="B72" s="29" t="s">
        <v>83</v>
      </c>
      <c r="C72" s="34"/>
      <c r="D72" s="40"/>
      <c r="E72" s="37"/>
      <c r="F72" s="27"/>
      <c r="G72" s="38"/>
      <c r="H72" s="26"/>
      <c r="I72" s="26"/>
      <c r="J72" s="3"/>
      <c r="K72" s="41">
        <f t="shared" si="3"/>
        <v>0</v>
      </c>
      <c r="L72" s="16"/>
      <c r="M72" s="37"/>
    </row>
    <row r="73" spans="1:13" ht="15.75">
      <c r="A73" s="30" t="s">
        <v>184</v>
      </c>
      <c r="B73" s="31" t="s">
        <v>84</v>
      </c>
      <c r="C73" s="34">
        <v>1</v>
      </c>
      <c r="D73" s="40" t="s">
        <v>172</v>
      </c>
      <c r="E73" s="37">
        <f t="shared" ref="E73:E136" si="8">M73-K73</f>
        <v>8393518.5185185168</v>
      </c>
      <c r="F73" s="27">
        <f>E73*C73</f>
        <v>8393518.5185185168</v>
      </c>
      <c r="G73" s="38">
        <v>0.08</v>
      </c>
      <c r="H73" s="26">
        <f t="shared" ref="H73:H135" si="9">ROUND(F73*G73,0)</f>
        <v>671481</v>
      </c>
      <c r="I73" s="26">
        <f t="shared" ref="I73:I135" si="10">F73+H73</f>
        <v>9064999.5185185168</v>
      </c>
      <c r="J73" s="3"/>
      <c r="K73" s="41">
        <f t="shared" ref="K73:K136" si="11">M73*2%</f>
        <v>171296.29629629626</v>
      </c>
      <c r="L73" s="16"/>
      <c r="M73" s="37">
        <v>8564814.8148148134</v>
      </c>
    </row>
    <row r="74" spans="1:13" ht="15.75">
      <c r="A74" s="30" t="s">
        <v>185</v>
      </c>
      <c r="B74" s="31" t="s">
        <v>85</v>
      </c>
      <c r="C74" s="34">
        <v>1</v>
      </c>
      <c r="D74" s="40" t="s">
        <v>172</v>
      </c>
      <c r="E74" s="37">
        <f t="shared" si="8"/>
        <v>5353703.7037037034</v>
      </c>
      <c r="F74" s="27">
        <f>E74*C74</f>
        <v>5353703.7037037034</v>
      </c>
      <c r="G74" s="38">
        <v>0.08</v>
      </c>
      <c r="H74" s="26">
        <f t="shared" si="9"/>
        <v>428296</v>
      </c>
      <c r="I74" s="26">
        <f t="shared" si="10"/>
        <v>5781999.7037037034</v>
      </c>
      <c r="J74" s="3"/>
      <c r="K74" s="41">
        <f t="shared" si="11"/>
        <v>109259.25925925926</v>
      </c>
      <c r="L74" s="16"/>
      <c r="M74" s="37">
        <v>5462962.9629629627</v>
      </c>
    </row>
    <row r="75" spans="1:13" ht="15.75">
      <c r="A75" s="30" t="s">
        <v>186</v>
      </c>
      <c r="B75" s="31" t="s">
        <v>86</v>
      </c>
      <c r="C75" s="34">
        <v>0.27</v>
      </c>
      <c r="D75" s="40" t="s">
        <v>173</v>
      </c>
      <c r="E75" s="37">
        <f t="shared" si="8"/>
        <v>1118379.6296296294</v>
      </c>
      <c r="F75" s="27">
        <f>E75*C75</f>
        <v>301962.49999999994</v>
      </c>
      <c r="G75" s="38">
        <v>0.08</v>
      </c>
      <c r="H75" s="26">
        <f t="shared" si="9"/>
        <v>24157</v>
      </c>
      <c r="I75" s="26">
        <f t="shared" si="10"/>
        <v>326119.49999999994</v>
      </c>
      <c r="J75" s="3"/>
      <c r="K75" s="41">
        <f t="shared" si="11"/>
        <v>22824.074074074073</v>
      </c>
      <c r="L75" s="16"/>
      <c r="M75" s="37">
        <v>1141203.7037037036</v>
      </c>
    </row>
    <row r="76" spans="1:13" ht="15.75">
      <c r="A76" s="30" t="s">
        <v>187</v>
      </c>
      <c r="B76" s="31" t="s">
        <v>87</v>
      </c>
      <c r="C76" s="34">
        <v>1.33</v>
      </c>
      <c r="D76" s="40" t="s">
        <v>174</v>
      </c>
      <c r="E76" s="37">
        <f t="shared" si="8"/>
        <v>328935.18518518517</v>
      </c>
      <c r="F76" s="27">
        <f>E76*C76</f>
        <v>437483.79629629629</v>
      </c>
      <c r="G76" s="38">
        <v>0.08</v>
      </c>
      <c r="H76" s="26">
        <f t="shared" si="9"/>
        <v>34999</v>
      </c>
      <c r="I76" s="26">
        <f t="shared" si="10"/>
        <v>472482.79629629629</v>
      </c>
      <c r="J76" s="3"/>
      <c r="K76" s="41">
        <f t="shared" si="11"/>
        <v>6712.9629629629635</v>
      </c>
      <c r="L76" s="16"/>
      <c r="M76" s="37">
        <v>335648.14814814815</v>
      </c>
    </row>
    <row r="77" spans="1:13" ht="15.75">
      <c r="A77" s="30" t="s">
        <v>188</v>
      </c>
      <c r="B77" s="31" t="s">
        <v>88</v>
      </c>
      <c r="C77" s="34">
        <v>0.33329999999999999</v>
      </c>
      <c r="D77" s="40" t="s">
        <v>173</v>
      </c>
      <c r="E77" s="37">
        <f t="shared" si="8"/>
        <v>3355138.888888889</v>
      </c>
      <c r="F77" s="27">
        <f>E77*C77</f>
        <v>1118267.7916666667</v>
      </c>
      <c r="G77" s="38">
        <v>0.08</v>
      </c>
      <c r="H77" s="26">
        <f t="shared" si="9"/>
        <v>89461</v>
      </c>
      <c r="I77" s="26">
        <f t="shared" si="10"/>
        <v>1207728.7916666667</v>
      </c>
      <c r="J77" s="3"/>
      <c r="K77" s="41">
        <f t="shared" si="11"/>
        <v>68472.222222222219</v>
      </c>
      <c r="L77" s="16"/>
      <c r="M77" s="37">
        <v>3423611.111111111</v>
      </c>
    </row>
    <row r="78" spans="1:13" ht="15.75">
      <c r="A78" s="28" t="s">
        <v>212</v>
      </c>
      <c r="B78" s="29" t="s">
        <v>89</v>
      </c>
      <c r="C78" s="34"/>
      <c r="D78" s="40"/>
      <c r="E78" s="37">
        <f t="shared" si="8"/>
        <v>0</v>
      </c>
      <c r="F78" s="27"/>
      <c r="G78" s="38"/>
      <c r="H78" s="26"/>
      <c r="I78" s="26"/>
      <c r="J78" s="3"/>
      <c r="K78" s="41">
        <f t="shared" si="11"/>
        <v>0</v>
      </c>
      <c r="L78" s="16"/>
      <c r="M78" s="37"/>
    </row>
    <row r="79" spans="1:13" ht="15.75">
      <c r="A79" s="30" t="s">
        <v>184</v>
      </c>
      <c r="B79" s="31" t="s">
        <v>90</v>
      </c>
      <c r="C79" s="34">
        <v>1</v>
      </c>
      <c r="D79" s="40" t="s">
        <v>161</v>
      </c>
      <c r="E79" s="37">
        <f t="shared" si="8"/>
        <v>855231.48148148146</v>
      </c>
      <c r="F79" s="27">
        <f t="shared" ref="F79:F103" si="12">E79*C79</f>
        <v>855231.48148148146</v>
      </c>
      <c r="G79" s="38">
        <v>0.08</v>
      </c>
      <c r="H79" s="26">
        <f t="shared" si="9"/>
        <v>68419</v>
      </c>
      <c r="I79" s="26">
        <f t="shared" si="10"/>
        <v>923650.48148148146</v>
      </c>
      <c r="J79" s="3"/>
      <c r="K79" s="41">
        <f t="shared" si="11"/>
        <v>17453.703703703704</v>
      </c>
      <c r="L79" s="16"/>
      <c r="M79" s="37">
        <v>872685.18518518517</v>
      </c>
    </row>
    <row r="80" spans="1:13" ht="15.75">
      <c r="A80" s="30" t="s">
        <v>185</v>
      </c>
      <c r="B80" s="31" t="s">
        <v>91</v>
      </c>
      <c r="C80" s="34">
        <v>5</v>
      </c>
      <c r="D80" s="40" t="s">
        <v>161</v>
      </c>
      <c r="E80" s="37">
        <f t="shared" si="8"/>
        <v>3345928.7037037034</v>
      </c>
      <c r="F80" s="27">
        <f t="shared" si="12"/>
        <v>16729643.518518517</v>
      </c>
      <c r="G80" s="38">
        <v>0.08</v>
      </c>
      <c r="H80" s="26">
        <f t="shared" si="9"/>
        <v>1338371</v>
      </c>
      <c r="I80" s="26">
        <f t="shared" si="10"/>
        <v>18068014.518518515</v>
      </c>
      <c r="J80" s="3"/>
      <c r="K80" s="41">
        <f t="shared" si="11"/>
        <v>68284.259259259255</v>
      </c>
      <c r="L80" s="16"/>
      <c r="M80" s="37">
        <v>3414212.9629629627</v>
      </c>
    </row>
    <row r="81" spans="1:13" ht="15.75">
      <c r="A81" s="30" t="s">
        <v>186</v>
      </c>
      <c r="B81" s="31" t="s">
        <v>92</v>
      </c>
      <c r="C81" s="34">
        <v>1</v>
      </c>
      <c r="D81" s="40" t="s">
        <v>161</v>
      </c>
      <c r="E81" s="37">
        <f t="shared" si="8"/>
        <v>2789370.3703703703</v>
      </c>
      <c r="F81" s="27">
        <f t="shared" si="12"/>
        <v>2789370.3703703703</v>
      </c>
      <c r="G81" s="38">
        <v>0.08</v>
      </c>
      <c r="H81" s="26">
        <f t="shared" si="9"/>
        <v>223150</v>
      </c>
      <c r="I81" s="26">
        <f t="shared" si="10"/>
        <v>3012520.3703703703</v>
      </c>
      <c r="J81" s="3"/>
      <c r="K81" s="41">
        <f t="shared" si="11"/>
        <v>56925.925925925927</v>
      </c>
      <c r="L81" s="16"/>
      <c r="M81" s="37">
        <v>2846296.2962962962</v>
      </c>
    </row>
    <row r="82" spans="1:13" ht="15.75">
      <c r="A82" s="30" t="s">
        <v>187</v>
      </c>
      <c r="B82" s="31" t="s">
        <v>93</v>
      </c>
      <c r="C82" s="34">
        <v>2</v>
      </c>
      <c r="D82" s="40" t="s">
        <v>161</v>
      </c>
      <c r="E82" s="37">
        <f t="shared" si="8"/>
        <v>2818316.6666666665</v>
      </c>
      <c r="F82" s="27">
        <f t="shared" si="12"/>
        <v>5636633.333333333</v>
      </c>
      <c r="G82" s="38">
        <v>0.08</v>
      </c>
      <c r="H82" s="26">
        <f t="shared" si="9"/>
        <v>450931</v>
      </c>
      <c r="I82" s="26">
        <f t="shared" si="10"/>
        <v>6087564.333333333</v>
      </c>
      <c r="J82" s="3"/>
      <c r="K82" s="41">
        <f t="shared" si="11"/>
        <v>57516.666666666664</v>
      </c>
      <c r="L82" s="16"/>
      <c r="M82" s="37">
        <v>2875833.333333333</v>
      </c>
    </row>
    <row r="83" spans="1:13" ht="15.75">
      <c r="A83" s="30" t="s">
        <v>188</v>
      </c>
      <c r="B83" s="31" t="s">
        <v>94</v>
      </c>
      <c r="C83" s="34">
        <v>1</v>
      </c>
      <c r="D83" s="40" t="s">
        <v>161</v>
      </c>
      <c r="E83" s="37">
        <f t="shared" si="8"/>
        <v>12894259.259259259</v>
      </c>
      <c r="F83" s="27">
        <f t="shared" si="12"/>
        <v>12894259.259259259</v>
      </c>
      <c r="G83" s="38">
        <v>0.08</v>
      </c>
      <c r="H83" s="26">
        <f t="shared" si="9"/>
        <v>1031541</v>
      </c>
      <c r="I83" s="26">
        <f t="shared" si="10"/>
        <v>13925800.259259259</v>
      </c>
      <c r="J83" s="3"/>
      <c r="K83" s="41">
        <f t="shared" si="11"/>
        <v>263148.14814814815</v>
      </c>
      <c r="L83" s="16"/>
      <c r="M83" s="37">
        <v>13157407.407407407</v>
      </c>
    </row>
    <row r="84" spans="1:13" ht="15.75">
      <c r="A84" s="30" t="s">
        <v>189</v>
      </c>
      <c r="B84" s="31" t="s">
        <v>95</v>
      </c>
      <c r="C84" s="34">
        <v>1</v>
      </c>
      <c r="D84" s="40" t="s">
        <v>161</v>
      </c>
      <c r="E84" s="37">
        <f t="shared" si="8"/>
        <v>2078870.3703703703</v>
      </c>
      <c r="F84" s="27">
        <f t="shared" si="12"/>
        <v>2078870.3703703703</v>
      </c>
      <c r="G84" s="38">
        <v>0.08</v>
      </c>
      <c r="H84" s="26">
        <f t="shared" si="9"/>
        <v>166310</v>
      </c>
      <c r="I84" s="26">
        <f t="shared" si="10"/>
        <v>2245180.3703703703</v>
      </c>
      <c r="J84" s="3"/>
      <c r="K84" s="41">
        <f t="shared" si="11"/>
        <v>42425.925925925927</v>
      </c>
      <c r="L84" s="16"/>
      <c r="M84" s="37">
        <v>2121296.2962962962</v>
      </c>
    </row>
    <row r="85" spans="1:13" ht="15.75">
      <c r="A85" s="30" t="s">
        <v>190</v>
      </c>
      <c r="B85" s="31" t="s">
        <v>96</v>
      </c>
      <c r="C85" s="34">
        <v>4</v>
      </c>
      <c r="D85" s="40" t="s">
        <v>161</v>
      </c>
      <c r="E85" s="37">
        <f t="shared" si="8"/>
        <v>947333.33333333326</v>
      </c>
      <c r="F85" s="27">
        <f t="shared" si="12"/>
        <v>3789333.333333333</v>
      </c>
      <c r="G85" s="38">
        <v>0.08</v>
      </c>
      <c r="H85" s="26">
        <f t="shared" si="9"/>
        <v>303147</v>
      </c>
      <c r="I85" s="26">
        <f t="shared" si="10"/>
        <v>4092480.333333333</v>
      </c>
      <c r="J85" s="3"/>
      <c r="K85" s="41">
        <f t="shared" si="11"/>
        <v>19333.333333333332</v>
      </c>
      <c r="L85" s="16"/>
      <c r="M85" s="37">
        <v>966666.66666666663</v>
      </c>
    </row>
    <row r="86" spans="1:13" ht="15.75">
      <c r="A86" s="30" t="s">
        <v>23</v>
      </c>
      <c r="B86" s="31" t="s">
        <v>97</v>
      </c>
      <c r="C86" s="34">
        <v>15</v>
      </c>
      <c r="D86" s="40" t="s">
        <v>166</v>
      </c>
      <c r="E86" s="37">
        <f t="shared" si="8"/>
        <v>421037.03703703702</v>
      </c>
      <c r="F86" s="27">
        <f t="shared" si="12"/>
        <v>6315555.555555555</v>
      </c>
      <c r="G86" s="38">
        <v>0.08</v>
      </c>
      <c r="H86" s="26">
        <f t="shared" si="9"/>
        <v>505244</v>
      </c>
      <c r="I86" s="26">
        <f t="shared" si="10"/>
        <v>6820799.555555555</v>
      </c>
      <c r="J86" s="3"/>
      <c r="K86" s="41">
        <f t="shared" si="11"/>
        <v>8592.5925925925931</v>
      </c>
      <c r="L86" s="16"/>
      <c r="M86" s="37">
        <v>429629.62962962961</v>
      </c>
    </row>
    <row r="87" spans="1:13" ht="15.75">
      <c r="A87" s="30" t="s">
        <v>191</v>
      </c>
      <c r="B87" s="31" t="s">
        <v>98</v>
      </c>
      <c r="C87" s="34">
        <v>11</v>
      </c>
      <c r="D87" s="40" t="s">
        <v>166</v>
      </c>
      <c r="E87" s="37">
        <f t="shared" si="8"/>
        <v>368407.40740740736</v>
      </c>
      <c r="F87" s="27">
        <f t="shared" si="12"/>
        <v>4052481.4814814809</v>
      </c>
      <c r="G87" s="38">
        <v>0.08</v>
      </c>
      <c r="H87" s="26">
        <f t="shared" si="9"/>
        <v>324199</v>
      </c>
      <c r="I87" s="26">
        <f t="shared" si="10"/>
        <v>4376680.4814814813</v>
      </c>
      <c r="J87" s="3"/>
      <c r="K87" s="41">
        <f t="shared" si="11"/>
        <v>7518.5185185185182</v>
      </c>
      <c r="L87" s="16"/>
      <c r="M87" s="37">
        <v>375925.9259259259</v>
      </c>
    </row>
    <row r="88" spans="1:13" ht="15.75">
      <c r="A88" s="30" t="s">
        <v>192</v>
      </c>
      <c r="B88" s="31" t="s">
        <v>99</v>
      </c>
      <c r="C88" s="34">
        <v>5</v>
      </c>
      <c r="D88" s="40" t="s">
        <v>161</v>
      </c>
      <c r="E88" s="37">
        <f t="shared" si="8"/>
        <v>249990.74074074073</v>
      </c>
      <c r="F88" s="27">
        <f t="shared" si="12"/>
        <v>1249953.7037037036</v>
      </c>
      <c r="G88" s="38">
        <v>0.08</v>
      </c>
      <c r="H88" s="26">
        <f t="shared" si="9"/>
        <v>99996</v>
      </c>
      <c r="I88" s="26">
        <f t="shared" si="10"/>
        <v>1349949.7037037036</v>
      </c>
      <c r="J88" s="3"/>
      <c r="K88" s="41">
        <f t="shared" si="11"/>
        <v>5101.8518518518522</v>
      </c>
      <c r="L88" s="16"/>
      <c r="M88" s="37">
        <v>255092.59259259258</v>
      </c>
    </row>
    <row r="89" spans="1:13" ht="15.75">
      <c r="A89" s="30" t="s">
        <v>193</v>
      </c>
      <c r="B89" s="31" t="s">
        <v>100</v>
      </c>
      <c r="C89" s="34">
        <v>6</v>
      </c>
      <c r="D89" s="40" t="s">
        <v>161</v>
      </c>
      <c r="E89" s="37">
        <f t="shared" si="8"/>
        <v>140784.25925925924</v>
      </c>
      <c r="F89" s="27">
        <f t="shared" si="12"/>
        <v>844705.5555555555</v>
      </c>
      <c r="G89" s="38">
        <v>0.08</v>
      </c>
      <c r="H89" s="26">
        <f t="shared" si="9"/>
        <v>67576</v>
      </c>
      <c r="I89" s="26">
        <f t="shared" si="10"/>
        <v>912281.5555555555</v>
      </c>
      <c r="J89" s="3"/>
      <c r="K89" s="41">
        <f t="shared" si="11"/>
        <v>2873.1481481481478</v>
      </c>
      <c r="L89" s="16"/>
      <c r="M89" s="37">
        <v>143657.40740740739</v>
      </c>
    </row>
    <row r="90" spans="1:13" ht="15.75">
      <c r="A90" s="30" t="s">
        <v>194</v>
      </c>
      <c r="B90" s="31" t="s">
        <v>101</v>
      </c>
      <c r="C90" s="34">
        <v>3</v>
      </c>
      <c r="D90" s="40" t="s">
        <v>161</v>
      </c>
      <c r="E90" s="37">
        <f t="shared" si="8"/>
        <v>319725</v>
      </c>
      <c r="F90" s="27">
        <f t="shared" si="12"/>
        <v>959175</v>
      </c>
      <c r="G90" s="38">
        <v>0.08</v>
      </c>
      <c r="H90" s="26">
        <f t="shared" si="9"/>
        <v>76734</v>
      </c>
      <c r="I90" s="26">
        <f t="shared" si="10"/>
        <v>1035909</v>
      </c>
      <c r="J90" s="3"/>
      <c r="K90" s="41">
        <f t="shared" si="11"/>
        <v>6525</v>
      </c>
      <c r="L90" s="16"/>
      <c r="M90" s="37">
        <v>326250</v>
      </c>
    </row>
    <row r="91" spans="1:13" ht="15.75">
      <c r="A91" s="30" t="s">
        <v>195</v>
      </c>
      <c r="B91" s="31" t="s">
        <v>102</v>
      </c>
      <c r="C91" s="34">
        <v>2</v>
      </c>
      <c r="D91" s="40" t="s">
        <v>161</v>
      </c>
      <c r="E91" s="37">
        <f t="shared" si="8"/>
        <v>217097.22222222219</v>
      </c>
      <c r="F91" s="27">
        <f t="shared" si="12"/>
        <v>434194.44444444438</v>
      </c>
      <c r="G91" s="38">
        <v>0.08</v>
      </c>
      <c r="H91" s="26">
        <f t="shared" si="9"/>
        <v>34736</v>
      </c>
      <c r="I91" s="26">
        <f t="shared" si="10"/>
        <v>468930.44444444438</v>
      </c>
      <c r="J91" s="3"/>
      <c r="K91" s="41">
        <f t="shared" si="11"/>
        <v>4430.5555555555547</v>
      </c>
      <c r="L91" s="16"/>
      <c r="M91" s="37">
        <v>221527.77777777775</v>
      </c>
    </row>
    <row r="92" spans="1:13" ht="15.75">
      <c r="A92" s="30" t="s">
        <v>196</v>
      </c>
      <c r="B92" s="31" t="s">
        <v>103</v>
      </c>
      <c r="C92" s="34">
        <v>1</v>
      </c>
      <c r="D92" s="40" t="s">
        <v>161</v>
      </c>
      <c r="E92" s="37">
        <f t="shared" si="8"/>
        <v>197361.11111111109</v>
      </c>
      <c r="F92" s="27">
        <f t="shared" si="12"/>
        <v>197361.11111111109</v>
      </c>
      <c r="G92" s="38">
        <v>0.08</v>
      </c>
      <c r="H92" s="26">
        <f t="shared" si="9"/>
        <v>15789</v>
      </c>
      <c r="I92" s="26">
        <f t="shared" si="10"/>
        <v>213150.11111111109</v>
      </c>
      <c r="J92" s="3"/>
      <c r="K92" s="41">
        <f t="shared" si="11"/>
        <v>4027.7777777777778</v>
      </c>
      <c r="L92" s="16"/>
      <c r="M92" s="37">
        <v>201388.88888888888</v>
      </c>
    </row>
    <row r="93" spans="1:13" ht="15.75">
      <c r="A93" s="30" t="s">
        <v>197</v>
      </c>
      <c r="B93" s="31" t="s">
        <v>104</v>
      </c>
      <c r="C93" s="34">
        <v>6</v>
      </c>
      <c r="D93" s="40" t="s">
        <v>175</v>
      </c>
      <c r="E93" s="37">
        <f t="shared" si="8"/>
        <v>263148.14814814809</v>
      </c>
      <c r="F93" s="27">
        <f t="shared" si="12"/>
        <v>1578888.8888888885</v>
      </c>
      <c r="G93" s="38">
        <v>0.08</v>
      </c>
      <c r="H93" s="26">
        <f t="shared" si="9"/>
        <v>126311</v>
      </c>
      <c r="I93" s="26">
        <f t="shared" si="10"/>
        <v>1705199.8888888885</v>
      </c>
      <c r="J93" s="3"/>
      <c r="K93" s="41">
        <f t="shared" si="11"/>
        <v>5370.3703703703695</v>
      </c>
      <c r="L93" s="16"/>
      <c r="M93" s="37">
        <v>268518.51851851848</v>
      </c>
    </row>
    <row r="94" spans="1:13" ht="15.75">
      <c r="A94" s="30" t="s">
        <v>198</v>
      </c>
      <c r="B94" s="31" t="s">
        <v>105</v>
      </c>
      <c r="C94" s="34">
        <v>2</v>
      </c>
      <c r="D94" s="40" t="s">
        <v>175</v>
      </c>
      <c r="E94" s="37">
        <f t="shared" si="8"/>
        <v>236833.33333333331</v>
      </c>
      <c r="F94" s="27">
        <f t="shared" si="12"/>
        <v>473666.66666666663</v>
      </c>
      <c r="G94" s="38">
        <v>0.08</v>
      </c>
      <c r="H94" s="26">
        <f t="shared" si="9"/>
        <v>37893</v>
      </c>
      <c r="I94" s="26">
        <f t="shared" si="10"/>
        <v>511559.66666666663</v>
      </c>
      <c r="J94" s="3"/>
      <c r="K94" s="41">
        <f t="shared" si="11"/>
        <v>4833.333333333333</v>
      </c>
      <c r="L94" s="16"/>
      <c r="M94" s="37">
        <v>241666.66666666666</v>
      </c>
    </row>
    <row r="95" spans="1:13" ht="15.75">
      <c r="A95" s="30" t="s">
        <v>199</v>
      </c>
      <c r="B95" s="31" t="s">
        <v>106</v>
      </c>
      <c r="C95" s="34">
        <v>1</v>
      </c>
      <c r="D95" s="40" t="s">
        <v>172</v>
      </c>
      <c r="E95" s="37">
        <f t="shared" si="8"/>
        <v>7236574.0740740728</v>
      </c>
      <c r="F95" s="27">
        <f t="shared" si="12"/>
        <v>7236574.0740740728</v>
      </c>
      <c r="G95" s="38">
        <v>0.08</v>
      </c>
      <c r="H95" s="26">
        <f t="shared" si="9"/>
        <v>578926</v>
      </c>
      <c r="I95" s="26">
        <f t="shared" si="10"/>
        <v>7815500.0740740728</v>
      </c>
      <c r="J95" s="3"/>
      <c r="K95" s="41">
        <f t="shared" si="11"/>
        <v>147685.18518518517</v>
      </c>
      <c r="L95" s="16"/>
      <c r="M95" s="37">
        <v>7384259.2592592584</v>
      </c>
    </row>
    <row r="96" spans="1:13" ht="15.75">
      <c r="A96" s="30" t="s">
        <v>200</v>
      </c>
      <c r="B96" s="31" t="s">
        <v>107</v>
      </c>
      <c r="C96" s="34">
        <v>1</v>
      </c>
      <c r="D96" s="40" t="s">
        <v>172</v>
      </c>
      <c r="E96" s="37">
        <f t="shared" si="8"/>
        <v>1973611.111111111</v>
      </c>
      <c r="F96" s="27">
        <f t="shared" si="12"/>
        <v>1973611.111111111</v>
      </c>
      <c r="G96" s="38">
        <v>0.08</v>
      </c>
      <c r="H96" s="26">
        <f t="shared" si="9"/>
        <v>157889</v>
      </c>
      <c r="I96" s="26">
        <f t="shared" si="10"/>
        <v>2131500.111111111</v>
      </c>
      <c r="J96" s="3"/>
      <c r="K96" s="41">
        <f t="shared" si="11"/>
        <v>40277.777777777774</v>
      </c>
      <c r="L96" s="16"/>
      <c r="M96" s="37">
        <v>2013888.8888888888</v>
      </c>
    </row>
    <row r="97" spans="1:13" ht="15.75">
      <c r="A97" s="30" t="s">
        <v>201</v>
      </c>
      <c r="B97" s="31" t="s">
        <v>108</v>
      </c>
      <c r="C97" s="34">
        <v>1</v>
      </c>
      <c r="D97" s="40" t="s">
        <v>172</v>
      </c>
      <c r="E97" s="37">
        <f t="shared" si="8"/>
        <v>2368333.333333333</v>
      </c>
      <c r="F97" s="27">
        <f t="shared" si="12"/>
        <v>2368333.333333333</v>
      </c>
      <c r="G97" s="38">
        <v>0.08</v>
      </c>
      <c r="H97" s="26">
        <f t="shared" si="9"/>
        <v>189467</v>
      </c>
      <c r="I97" s="26">
        <f t="shared" si="10"/>
        <v>2557800.333333333</v>
      </c>
      <c r="J97" s="3"/>
      <c r="K97" s="41">
        <f t="shared" si="11"/>
        <v>48333.333333333328</v>
      </c>
      <c r="L97" s="16"/>
      <c r="M97" s="37">
        <v>2416666.6666666665</v>
      </c>
    </row>
    <row r="98" spans="1:13" ht="15.75">
      <c r="A98" s="30" t="s">
        <v>202</v>
      </c>
      <c r="B98" s="31" t="s">
        <v>109</v>
      </c>
      <c r="C98" s="34">
        <v>1</v>
      </c>
      <c r="D98" s="40" t="s">
        <v>172</v>
      </c>
      <c r="E98" s="37">
        <f t="shared" si="8"/>
        <v>1118379.6296296294</v>
      </c>
      <c r="F98" s="27">
        <f t="shared" si="12"/>
        <v>1118379.6296296294</v>
      </c>
      <c r="G98" s="38">
        <v>0.08</v>
      </c>
      <c r="H98" s="26">
        <f t="shared" si="9"/>
        <v>89470</v>
      </c>
      <c r="I98" s="26">
        <f t="shared" si="10"/>
        <v>1207849.6296296294</v>
      </c>
      <c r="J98" s="3"/>
      <c r="K98" s="41">
        <f t="shared" si="11"/>
        <v>22824.074074074073</v>
      </c>
      <c r="L98" s="16"/>
      <c r="M98" s="37">
        <v>1141203.7037037036</v>
      </c>
    </row>
    <row r="99" spans="1:13" ht="15.75">
      <c r="A99" s="30" t="s">
        <v>29</v>
      </c>
      <c r="B99" s="31" t="s">
        <v>110</v>
      </c>
      <c r="C99" s="34">
        <v>1</v>
      </c>
      <c r="D99" s="40" t="s">
        <v>172</v>
      </c>
      <c r="E99" s="37">
        <f t="shared" si="8"/>
        <v>855231.48148148146</v>
      </c>
      <c r="F99" s="27">
        <f t="shared" si="12"/>
        <v>855231.48148148146</v>
      </c>
      <c r="G99" s="38">
        <v>0.08</v>
      </c>
      <c r="H99" s="26">
        <f t="shared" si="9"/>
        <v>68419</v>
      </c>
      <c r="I99" s="26">
        <f t="shared" si="10"/>
        <v>923650.48148148146</v>
      </c>
      <c r="J99" s="3"/>
      <c r="K99" s="41">
        <f t="shared" si="11"/>
        <v>17453.703703703704</v>
      </c>
      <c r="L99" s="16"/>
      <c r="M99" s="37">
        <v>872685.18518518517</v>
      </c>
    </row>
    <row r="100" spans="1:13" ht="15.75">
      <c r="A100" s="30" t="s">
        <v>203</v>
      </c>
      <c r="B100" s="31" t="s">
        <v>111</v>
      </c>
      <c r="C100" s="34">
        <v>1</v>
      </c>
      <c r="D100" s="40" t="s">
        <v>172</v>
      </c>
      <c r="E100" s="37">
        <f t="shared" si="8"/>
        <v>4605092.5925925924</v>
      </c>
      <c r="F100" s="27">
        <f t="shared" si="12"/>
        <v>4605092.5925925924</v>
      </c>
      <c r="G100" s="38">
        <v>0.08</v>
      </c>
      <c r="H100" s="26">
        <f t="shared" si="9"/>
        <v>368407</v>
      </c>
      <c r="I100" s="26">
        <f t="shared" si="10"/>
        <v>4973499.5925925924</v>
      </c>
      <c r="J100" s="3"/>
      <c r="K100" s="41">
        <f t="shared" si="11"/>
        <v>93981.481481481474</v>
      </c>
      <c r="L100" s="16"/>
      <c r="M100" s="37">
        <v>4699074.0740740737</v>
      </c>
    </row>
    <row r="101" spans="1:13" ht="15.75">
      <c r="A101" s="30" t="s">
        <v>204</v>
      </c>
      <c r="B101" s="31" t="s">
        <v>112</v>
      </c>
      <c r="C101" s="34">
        <v>0.3</v>
      </c>
      <c r="D101" s="40" t="s">
        <v>176</v>
      </c>
      <c r="E101" s="37">
        <f t="shared" si="8"/>
        <v>23683.333333333332</v>
      </c>
      <c r="F101" s="27">
        <f t="shared" si="12"/>
        <v>7104.9999999999991</v>
      </c>
      <c r="G101" s="38">
        <v>0.08</v>
      </c>
      <c r="H101" s="26">
        <f t="shared" si="9"/>
        <v>568</v>
      </c>
      <c r="I101" s="26">
        <f t="shared" si="10"/>
        <v>7672.9999999999991</v>
      </c>
      <c r="J101" s="3"/>
      <c r="K101" s="41">
        <f t="shared" si="11"/>
        <v>483.33333333333331</v>
      </c>
      <c r="L101" s="16"/>
      <c r="M101" s="37">
        <v>24166.666666666664</v>
      </c>
    </row>
    <row r="102" spans="1:13" ht="15.75">
      <c r="A102" s="30" t="s">
        <v>205</v>
      </c>
      <c r="B102" s="31" t="s">
        <v>113</v>
      </c>
      <c r="C102" s="34">
        <v>50</v>
      </c>
      <c r="D102" s="40" t="s">
        <v>166</v>
      </c>
      <c r="E102" s="37">
        <f t="shared" si="8"/>
        <v>276305.55555555556</v>
      </c>
      <c r="F102" s="27">
        <f t="shared" si="12"/>
        <v>13815277.777777778</v>
      </c>
      <c r="G102" s="38">
        <v>0.08</v>
      </c>
      <c r="H102" s="26">
        <f t="shared" si="9"/>
        <v>1105222</v>
      </c>
      <c r="I102" s="26">
        <f t="shared" si="10"/>
        <v>14920499.777777778</v>
      </c>
      <c r="J102" s="3"/>
      <c r="K102" s="41">
        <f t="shared" si="11"/>
        <v>5638.8888888888887</v>
      </c>
      <c r="L102" s="16"/>
      <c r="M102" s="37">
        <v>281944.44444444444</v>
      </c>
    </row>
    <row r="103" spans="1:13" ht="15.75">
      <c r="A103" s="30" t="s">
        <v>127</v>
      </c>
      <c r="B103" s="31" t="s">
        <v>114</v>
      </c>
      <c r="C103" s="34">
        <v>60</v>
      </c>
      <c r="D103" s="40" t="s">
        <v>166</v>
      </c>
      <c r="E103" s="37">
        <f t="shared" si="8"/>
        <v>559189.81481481472</v>
      </c>
      <c r="F103" s="27">
        <f t="shared" si="12"/>
        <v>33551388.888888884</v>
      </c>
      <c r="G103" s="38">
        <v>0.08</v>
      </c>
      <c r="H103" s="26">
        <f t="shared" si="9"/>
        <v>2684111</v>
      </c>
      <c r="I103" s="26">
        <f t="shared" si="10"/>
        <v>36235499.888888881</v>
      </c>
      <c r="J103" s="3"/>
      <c r="K103" s="41">
        <f t="shared" si="11"/>
        <v>11412.037037037036</v>
      </c>
      <c r="L103" s="16"/>
      <c r="M103" s="37">
        <v>570601.8518518518</v>
      </c>
    </row>
    <row r="104" spans="1:13" ht="15.75">
      <c r="A104" s="28" t="s">
        <v>213</v>
      </c>
      <c r="B104" s="29" t="s">
        <v>115</v>
      </c>
      <c r="C104" s="34"/>
      <c r="D104" s="40"/>
      <c r="E104" s="37">
        <f t="shared" si="8"/>
        <v>0</v>
      </c>
      <c r="F104" s="27"/>
      <c r="G104" s="38"/>
      <c r="H104" s="26"/>
      <c r="I104" s="26"/>
      <c r="J104" s="3"/>
      <c r="K104" s="41">
        <f t="shared" si="11"/>
        <v>0</v>
      </c>
      <c r="L104" s="16"/>
      <c r="M104" s="37"/>
    </row>
    <row r="105" spans="1:13" ht="15.75">
      <c r="A105" s="30" t="s">
        <v>184</v>
      </c>
      <c r="B105" s="31" t="s">
        <v>116</v>
      </c>
      <c r="C105" s="34">
        <v>1.2</v>
      </c>
      <c r="D105" s="40" t="s">
        <v>176</v>
      </c>
      <c r="E105" s="37">
        <f t="shared" si="8"/>
        <v>36659259.259259254</v>
      </c>
      <c r="F105" s="27">
        <f t="shared" ref="F105:F117" si="13">E105*C105</f>
        <v>43991111.111111104</v>
      </c>
      <c r="G105" s="38">
        <v>0.08</v>
      </c>
      <c r="H105" s="26">
        <f t="shared" si="9"/>
        <v>3519289</v>
      </c>
      <c r="I105" s="26">
        <f t="shared" si="10"/>
        <v>47510400.111111104</v>
      </c>
      <c r="J105" s="3"/>
      <c r="K105" s="41">
        <f t="shared" si="11"/>
        <v>748148.14814814809</v>
      </c>
      <c r="L105" s="16"/>
      <c r="M105" s="37">
        <v>37407407.407407403</v>
      </c>
    </row>
    <row r="106" spans="1:13" ht="15.75">
      <c r="A106" s="30" t="s">
        <v>185</v>
      </c>
      <c r="B106" s="31" t="s">
        <v>117</v>
      </c>
      <c r="C106" s="34">
        <v>8</v>
      </c>
      <c r="D106" s="40" t="s">
        <v>161</v>
      </c>
      <c r="E106" s="37">
        <f t="shared" si="8"/>
        <v>249990.74074074073</v>
      </c>
      <c r="F106" s="27">
        <f t="shared" si="13"/>
        <v>1999925.9259259258</v>
      </c>
      <c r="G106" s="38">
        <v>0.08</v>
      </c>
      <c r="H106" s="26">
        <f t="shared" si="9"/>
        <v>159994</v>
      </c>
      <c r="I106" s="26">
        <f t="shared" si="10"/>
        <v>2159919.9259259258</v>
      </c>
      <c r="J106" s="3"/>
      <c r="K106" s="41">
        <f t="shared" si="11"/>
        <v>5101.8518518518522</v>
      </c>
      <c r="L106" s="16"/>
      <c r="M106" s="37">
        <v>255092.59259259258</v>
      </c>
    </row>
    <row r="107" spans="1:13" ht="15.75">
      <c r="A107" s="30" t="s">
        <v>186</v>
      </c>
      <c r="B107" s="31" t="s">
        <v>101</v>
      </c>
      <c r="C107" s="34">
        <v>1</v>
      </c>
      <c r="D107" s="40" t="s">
        <v>161</v>
      </c>
      <c r="E107" s="37">
        <f t="shared" si="8"/>
        <v>319725</v>
      </c>
      <c r="F107" s="27">
        <f t="shared" si="13"/>
        <v>319725</v>
      </c>
      <c r="G107" s="38">
        <v>0.08</v>
      </c>
      <c r="H107" s="26">
        <f t="shared" si="9"/>
        <v>25578</v>
      </c>
      <c r="I107" s="26">
        <f t="shared" si="10"/>
        <v>345303</v>
      </c>
      <c r="J107" s="3"/>
      <c r="K107" s="41">
        <f t="shared" si="11"/>
        <v>6525</v>
      </c>
      <c r="L107" s="16"/>
      <c r="M107" s="37">
        <v>326250</v>
      </c>
    </row>
    <row r="108" spans="1:13" ht="15.75">
      <c r="A108" s="30" t="s">
        <v>187</v>
      </c>
      <c r="B108" s="31" t="s">
        <v>118</v>
      </c>
      <c r="C108" s="34">
        <v>5</v>
      </c>
      <c r="D108" s="40" t="s">
        <v>175</v>
      </c>
      <c r="E108" s="37">
        <f t="shared" si="8"/>
        <v>263148.14814814809</v>
      </c>
      <c r="F108" s="27">
        <f t="shared" si="13"/>
        <v>1315740.7407407404</v>
      </c>
      <c r="G108" s="38">
        <v>0.08</v>
      </c>
      <c r="H108" s="26">
        <f t="shared" si="9"/>
        <v>105259</v>
      </c>
      <c r="I108" s="26">
        <f t="shared" si="10"/>
        <v>1420999.7407407404</v>
      </c>
      <c r="J108" s="3"/>
      <c r="K108" s="41">
        <f t="shared" si="11"/>
        <v>5370.3703703703695</v>
      </c>
      <c r="L108" s="16"/>
      <c r="M108" s="37">
        <v>268518.51851851848</v>
      </c>
    </row>
    <row r="109" spans="1:13" ht="15.75">
      <c r="A109" s="30" t="s">
        <v>188</v>
      </c>
      <c r="B109" s="31" t="s">
        <v>119</v>
      </c>
      <c r="C109" s="34">
        <v>1</v>
      </c>
      <c r="D109" s="40" t="s">
        <v>161</v>
      </c>
      <c r="E109" s="37">
        <f t="shared" si="8"/>
        <v>3345928.7037037034</v>
      </c>
      <c r="F109" s="27">
        <f t="shared" si="13"/>
        <v>3345928.7037037034</v>
      </c>
      <c r="G109" s="38">
        <v>0.08</v>
      </c>
      <c r="H109" s="26">
        <f t="shared" si="9"/>
        <v>267674</v>
      </c>
      <c r="I109" s="26">
        <f t="shared" si="10"/>
        <v>3613602.7037037034</v>
      </c>
      <c r="J109" s="3"/>
      <c r="K109" s="41">
        <f t="shared" si="11"/>
        <v>68284.259259259255</v>
      </c>
      <c r="L109" s="16"/>
      <c r="M109" s="37">
        <v>3414212.9629629627</v>
      </c>
    </row>
    <row r="110" spans="1:13" ht="31.5">
      <c r="A110" s="30" t="s">
        <v>189</v>
      </c>
      <c r="B110" s="31" t="s">
        <v>120</v>
      </c>
      <c r="C110" s="34">
        <v>2</v>
      </c>
      <c r="D110" s="40" t="s">
        <v>177</v>
      </c>
      <c r="E110" s="37">
        <f t="shared" si="8"/>
        <v>5907222.2222222211</v>
      </c>
      <c r="F110" s="27">
        <f t="shared" si="13"/>
        <v>11814444.444444442</v>
      </c>
      <c r="G110" s="38">
        <v>0.08</v>
      </c>
      <c r="H110" s="26">
        <f t="shared" si="9"/>
        <v>945156</v>
      </c>
      <c r="I110" s="26">
        <f t="shared" si="10"/>
        <v>12759600.444444442</v>
      </c>
      <c r="J110" s="3"/>
      <c r="K110" s="41">
        <f t="shared" si="11"/>
        <v>120555.55555555555</v>
      </c>
      <c r="L110" s="16"/>
      <c r="M110" s="37">
        <v>6027777.7777777771</v>
      </c>
    </row>
    <row r="111" spans="1:13" ht="15.75">
      <c r="A111" s="30" t="s">
        <v>190</v>
      </c>
      <c r="B111" s="31" t="s">
        <v>121</v>
      </c>
      <c r="C111" s="34">
        <v>3</v>
      </c>
      <c r="D111" s="40" t="s">
        <v>177</v>
      </c>
      <c r="E111" s="37">
        <f t="shared" si="8"/>
        <v>11288148.148148147</v>
      </c>
      <c r="F111" s="27">
        <f t="shared" si="13"/>
        <v>33864444.44444444</v>
      </c>
      <c r="G111" s="38">
        <v>0.08</v>
      </c>
      <c r="H111" s="26">
        <f t="shared" si="9"/>
        <v>2709156</v>
      </c>
      <c r="I111" s="26">
        <f t="shared" si="10"/>
        <v>36573600.44444444</v>
      </c>
      <c r="J111" s="3"/>
      <c r="K111" s="41">
        <f t="shared" si="11"/>
        <v>230370.37037037036</v>
      </c>
      <c r="L111" s="16"/>
      <c r="M111" s="37">
        <v>11518518.518518519</v>
      </c>
    </row>
    <row r="112" spans="1:13" ht="15.75">
      <c r="A112" s="30" t="s">
        <v>23</v>
      </c>
      <c r="B112" s="31" t="s">
        <v>122</v>
      </c>
      <c r="C112" s="34">
        <v>1</v>
      </c>
      <c r="D112" s="40" t="s">
        <v>172</v>
      </c>
      <c r="E112" s="37">
        <f t="shared" si="8"/>
        <v>11274537.037037035</v>
      </c>
      <c r="F112" s="27">
        <f t="shared" si="13"/>
        <v>11274537.037037035</v>
      </c>
      <c r="G112" s="38">
        <v>0.08</v>
      </c>
      <c r="H112" s="26">
        <f t="shared" si="9"/>
        <v>901963</v>
      </c>
      <c r="I112" s="26">
        <f t="shared" si="10"/>
        <v>12176500.037037035</v>
      </c>
      <c r="J112" s="3"/>
      <c r="K112" s="41">
        <f t="shared" si="11"/>
        <v>230092.59259259258</v>
      </c>
      <c r="L112" s="16"/>
      <c r="M112" s="37">
        <v>11504629.629629629</v>
      </c>
    </row>
    <row r="113" spans="1:13" ht="15.75">
      <c r="A113" s="30" t="s">
        <v>191</v>
      </c>
      <c r="B113" s="31" t="s">
        <v>107</v>
      </c>
      <c r="C113" s="34">
        <v>1</v>
      </c>
      <c r="D113" s="40" t="s">
        <v>172</v>
      </c>
      <c r="E113" s="37">
        <f t="shared" si="8"/>
        <v>3289351.8518518517</v>
      </c>
      <c r="F113" s="27">
        <f t="shared" si="13"/>
        <v>3289351.8518518517</v>
      </c>
      <c r="G113" s="38">
        <v>0.08</v>
      </c>
      <c r="H113" s="26">
        <f t="shared" si="9"/>
        <v>263148</v>
      </c>
      <c r="I113" s="26">
        <f t="shared" si="10"/>
        <v>3552499.8518518517</v>
      </c>
      <c r="J113" s="3"/>
      <c r="K113" s="41">
        <f t="shared" si="11"/>
        <v>67129.629629629635</v>
      </c>
      <c r="L113" s="16"/>
      <c r="M113" s="37">
        <v>3356481.4814814813</v>
      </c>
    </row>
    <row r="114" spans="1:13" ht="15.75">
      <c r="A114" s="30" t="s">
        <v>192</v>
      </c>
      <c r="B114" s="31" t="s">
        <v>123</v>
      </c>
      <c r="C114" s="34">
        <v>10</v>
      </c>
      <c r="D114" s="40" t="s">
        <v>166</v>
      </c>
      <c r="E114" s="37">
        <f t="shared" si="8"/>
        <v>855231.48148148146</v>
      </c>
      <c r="F114" s="27">
        <f t="shared" si="13"/>
        <v>8552314.8148148153</v>
      </c>
      <c r="G114" s="38">
        <v>0.08</v>
      </c>
      <c r="H114" s="26">
        <f t="shared" si="9"/>
        <v>684185</v>
      </c>
      <c r="I114" s="26">
        <f t="shared" si="10"/>
        <v>9236499.8148148153</v>
      </c>
      <c r="J114" s="3"/>
      <c r="K114" s="41">
        <f t="shared" si="11"/>
        <v>17453.703703703704</v>
      </c>
      <c r="L114" s="16"/>
      <c r="M114" s="37">
        <v>872685.18518518517</v>
      </c>
    </row>
    <row r="115" spans="1:13" ht="15.75">
      <c r="A115" s="30" t="s">
        <v>193</v>
      </c>
      <c r="B115" s="31" t="s">
        <v>124</v>
      </c>
      <c r="C115" s="34">
        <v>0.3</v>
      </c>
      <c r="D115" s="40" t="s">
        <v>178</v>
      </c>
      <c r="E115" s="37">
        <f t="shared" si="8"/>
        <v>46050.92592592592</v>
      </c>
      <c r="F115" s="27">
        <f t="shared" si="13"/>
        <v>13815.277777777776</v>
      </c>
      <c r="G115" s="38">
        <v>0.08</v>
      </c>
      <c r="H115" s="26">
        <f t="shared" si="9"/>
        <v>1105</v>
      </c>
      <c r="I115" s="26">
        <f t="shared" si="10"/>
        <v>14920.277777777776</v>
      </c>
      <c r="J115" s="3"/>
      <c r="K115" s="41">
        <f t="shared" si="11"/>
        <v>939.81481481481478</v>
      </c>
      <c r="L115" s="16"/>
      <c r="M115" s="37">
        <v>46990.740740740737</v>
      </c>
    </row>
    <row r="116" spans="1:13" ht="15.75">
      <c r="A116" s="30" t="s">
        <v>194</v>
      </c>
      <c r="B116" s="31" t="s">
        <v>125</v>
      </c>
      <c r="C116" s="34">
        <v>3</v>
      </c>
      <c r="D116" s="40" t="s">
        <v>161</v>
      </c>
      <c r="E116" s="37">
        <f t="shared" si="8"/>
        <v>328935.18518518517</v>
      </c>
      <c r="F116" s="27">
        <f t="shared" si="13"/>
        <v>986805.5555555555</v>
      </c>
      <c r="G116" s="38">
        <v>0.08</v>
      </c>
      <c r="H116" s="26">
        <f t="shared" si="9"/>
        <v>78944</v>
      </c>
      <c r="I116" s="26">
        <f t="shared" si="10"/>
        <v>1065749.5555555555</v>
      </c>
      <c r="J116" s="3"/>
      <c r="K116" s="41">
        <f t="shared" si="11"/>
        <v>6712.9629629629635</v>
      </c>
      <c r="L116" s="16"/>
      <c r="M116" s="37">
        <v>335648.14814814815</v>
      </c>
    </row>
    <row r="117" spans="1:13" ht="15.75">
      <c r="A117" s="30" t="s">
        <v>195</v>
      </c>
      <c r="B117" s="31" t="s">
        <v>126</v>
      </c>
      <c r="C117" s="34">
        <v>1</v>
      </c>
      <c r="D117" s="40" t="s">
        <v>179</v>
      </c>
      <c r="E117" s="37">
        <f t="shared" si="8"/>
        <v>113425925.92592591</v>
      </c>
      <c r="F117" s="27">
        <f t="shared" si="13"/>
        <v>113425925.92592591</v>
      </c>
      <c r="G117" s="38">
        <v>0.08</v>
      </c>
      <c r="H117" s="26">
        <f t="shared" si="9"/>
        <v>9074074</v>
      </c>
      <c r="I117" s="26">
        <f t="shared" si="10"/>
        <v>122499999.92592591</v>
      </c>
      <c r="J117" s="3"/>
      <c r="K117" s="41">
        <f t="shared" si="11"/>
        <v>2314814.8148148148</v>
      </c>
      <c r="L117" s="16"/>
      <c r="M117" s="37">
        <v>115740740.74074073</v>
      </c>
    </row>
    <row r="118" spans="1:13" ht="15.75">
      <c r="A118" s="28" t="s">
        <v>214</v>
      </c>
      <c r="B118" s="29" t="s">
        <v>128</v>
      </c>
      <c r="C118" s="34"/>
      <c r="D118" s="40"/>
      <c r="E118" s="37">
        <f t="shared" si="8"/>
        <v>0</v>
      </c>
      <c r="F118" s="27"/>
      <c r="G118" s="38"/>
      <c r="H118" s="26"/>
      <c r="I118" s="26"/>
      <c r="J118" s="3"/>
      <c r="K118" s="41">
        <f t="shared" si="11"/>
        <v>0</v>
      </c>
      <c r="L118" s="16"/>
      <c r="M118" s="37"/>
    </row>
    <row r="119" spans="1:13" ht="15.75">
      <c r="A119" s="30" t="s">
        <v>184</v>
      </c>
      <c r="B119" s="31" t="s">
        <v>129</v>
      </c>
      <c r="C119" s="34">
        <v>0.70399999999999996</v>
      </c>
      <c r="D119" s="40" t="s">
        <v>173</v>
      </c>
      <c r="E119" s="37">
        <f t="shared" si="8"/>
        <v>2960416.6666666665</v>
      </c>
      <c r="F119" s="27">
        <f t="shared" ref="F119:F125" si="14">E119*C119</f>
        <v>2084133.333333333</v>
      </c>
      <c r="G119" s="38">
        <v>0.08</v>
      </c>
      <c r="H119" s="26">
        <f t="shared" si="9"/>
        <v>166731</v>
      </c>
      <c r="I119" s="26">
        <f t="shared" si="10"/>
        <v>2250864.333333333</v>
      </c>
      <c r="J119" s="3"/>
      <c r="K119" s="41">
        <f t="shared" si="11"/>
        <v>60416.666666666664</v>
      </c>
      <c r="L119" s="16"/>
      <c r="M119" s="37">
        <v>3020833.333333333</v>
      </c>
    </row>
    <row r="120" spans="1:13" ht="15.75">
      <c r="A120" s="30" t="s">
        <v>185</v>
      </c>
      <c r="B120" s="31" t="s">
        <v>130</v>
      </c>
      <c r="C120" s="34">
        <v>1.1299999999999999</v>
      </c>
      <c r="D120" s="40" t="s">
        <v>173</v>
      </c>
      <c r="E120" s="37">
        <f t="shared" si="8"/>
        <v>3355138.888888889</v>
      </c>
      <c r="F120" s="27">
        <f t="shared" si="14"/>
        <v>3791306.944444444</v>
      </c>
      <c r="G120" s="38">
        <v>0.08</v>
      </c>
      <c r="H120" s="26">
        <f t="shared" si="9"/>
        <v>303305</v>
      </c>
      <c r="I120" s="26">
        <f t="shared" si="10"/>
        <v>4094611.944444444</v>
      </c>
      <c r="J120" s="3"/>
      <c r="K120" s="41">
        <f t="shared" si="11"/>
        <v>68472.222222222219</v>
      </c>
      <c r="L120" s="16"/>
      <c r="M120" s="37">
        <v>3423611.111111111</v>
      </c>
    </row>
    <row r="121" spans="1:13" ht="15.75">
      <c r="A121" s="30" t="s">
        <v>186</v>
      </c>
      <c r="B121" s="31" t="s">
        <v>131</v>
      </c>
      <c r="C121" s="34">
        <v>29.8</v>
      </c>
      <c r="D121" s="40" t="s">
        <v>168</v>
      </c>
      <c r="E121" s="37">
        <f t="shared" si="8"/>
        <v>85523.148148148146</v>
      </c>
      <c r="F121" s="27">
        <f t="shared" si="14"/>
        <v>2548589.8148148148</v>
      </c>
      <c r="G121" s="38">
        <v>0.08</v>
      </c>
      <c r="H121" s="26">
        <f t="shared" si="9"/>
        <v>203887</v>
      </c>
      <c r="I121" s="26">
        <f t="shared" si="10"/>
        <v>2752476.8148148148</v>
      </c>
      <c r="J121" s="3"/>
      <c r="K121" s="41">
        <f t="shared" si="11"/>
        <v>1745.3703703703702</v>
      </c>
      <c r="L121" s="16"/>
      <c r="M121" s="37">
        <v>87268.518518518511</v>
      </c>
    </row>
    <row r="122" spans="1:13" ht="15.75">
      <c r="A122" s="30" t="s">
        <v>187</v>
      </c>
      <c r="B122" s="31" t="s">
        <v>132</v>
      </c>
      <c r="C122" s="34">
        <v>1.1000000000000001</v>
      </c>
      <c r="D122" s="40" t="s">
        <v>166</v>
      </c>
      <c r="E122" s="37">
        <f t="shared" si="8"/>
        <v>72365.74074074073</v>
      </c>
      <c r="F122" s="27">
        <f t="shared" si="14"/>
        <v>79602.314814814803</v>
      </c>
      <c r="G122" s="38">
        <v>0.08</v>
      </c>
      <c r="H122" s="26">
        <f t="shared" si="9"/>
        <v>6368</v>
      </c>
      <c r="I122" s="26">
        <f t="shared" si="10"/>
        <v>85970.314814814803</v>
      </c>
      <c r="J122" s="3"/>
      <c r="K122" s="41">
        <f t="shared" si="11"/>
        <v>1476.8518518518517</v>
      </c>
      <c r="L122" s="16"/>
      <c r="M122" s="37">
        <v>73842.592592592584</v>
      </c>
    </row>
    <row r="123" spans="1:13" ht="15.75">
      <c r="A123" s="30" t="s">
        <v>188</v>
      </c>
      <c r="B123" s="31" t="s">
        <v>133</v>
      </c>
      <c r="C123" s="34">
        <v>2.9152999999999998</v>
      </c>
      <c r="D123" s="40" t="s">
        <v>174</v>
      </c>
      <c r="E123" s="37">
        <f t="shared" si="8"/>
        <v>368407.40740740736</v>
      </c>
      <c r="F123" s="27">
        <f t="shared" si="14"/>
        <v>1074018.1148148146</v>
      </c>
      <c r="G123" s="38">
        <v>0.08</v>
      </c>
      <c r="H123" s="26">
        <f t="shared" si="9"/>
        <v>85921</v>
      </c>
      <c r="I123" s="26">
        <f t="shared" si="10"/>
        <v>1159939.1148148146</v>
      </c>
      <c r="J123" s="3"/>
      <c r="K123" s="41">
        <f t="shared" si="11"/>
        <v>7518.5185185185182</v>
      </c>
      <c r="L123" s="16"/>
      <c r="M123" s="37">
        <v>375925.9259259259</v>
      </c>
    </row>
    <row r="124" spans="1:13" ht="15.75">
      <c r="A124" s="30" t="s">
        <v>189</v>
      </c>
      <c r="B124" s="31" t="s">
        <v>134</v>
      </c>
      <c r="C124" s="34">
        <v>6.51</v>
      </c>
      <c r="D124" s="40" t="s">
        <v>174</v>
      </c>
      <c r="E124" s="37">
        <f t="shared" si="8"/>
        <v>236833.33333333331</v>
      </c>
      <c r="F124" s="27">
        <f t="shared" si="14"/>
        <v>1541784.9999999998</v>
      </c>
      <c r="G124" s="38">
        <v>0.08</v>
      </c>
      <c r="H124" s="26">
        <f t="shared" si="9"/>
        <v>123343</v>
      </c>
      <c r="I124" s="26">
        <f t="shared" si="10"/>
        <v>1665127.9999999998</v>
      </c>
      <c r="J124" s="3"/>
      <c r="K124" s="41">
        <f t="shared" si="11"/>
        <v>4833.333333333333</v>
      </c>
      <c r="L124" s="16"/>
      <c r="M124" s="37">
        <v>241666.66666666666</v>
      </c>
    </row>
    <row r="125" spans="1:13" ht="15.75">
      <c r="A125" s="30" t="s">
        <v>190</v>
      </c>
      <c r="B125" s="31" t="s">
        <v>135</v>
      </c>
      <c r="C125" s="34">
        <v>8</v>
      </c>
      <c r="D125" s="40" t="s">
        <v>177</v>
      </c>
      <c r="E125" s="37">
        <f t="shared" si="8"/>
        <v>124995.37037037036</v>
      </c>
      <c r="F125" s="27">
        <f t="shared" si="14"/>
        <v>999962.96296296292</v>
      </c>
      <c r="G125" s="38">
        <v>0.08</v>
      </c>
      <c r="H125" s="26">
        <f t="shared" si="9"/>
        <v>79997</v>
      </c>
      <c r="I125" s="26">
        <f t="shared" si="10"/>
        <v>1079959.9629629629</v>
      </c>
      <c r="J125" s="3"/>
      <c r="K125" s="41">
        <f t="shared" si="11"/>
        <v>2550.9259259259261</v>
      </c>
      <c r="L125" s="16"/>
      <c r="M125" s="37">
        <v>127546.29629629629</v>
      </c>
    </row>
    <row r="126" spans="1:13" ht="31.5">
      <c r="A126" s="28" t="s">
        <v>215</v>
      </c>
      <c r="B126" s="29" t="s">
        <v>137</v>
      </c>
      <c r="C126" s="35"/>
      <c r="D126" s="40"/>
      <c r="E126" s="37">
        <f t="shared" si="8"/>
        <v>0</v>
      </c>
      <c r="F126" s="27"/>
      <c r="G126" s="38"/>
      <c r="H126" s="26"/>
      <c r="I126" s="26"/>
      <c r="J126" s="3"/>
      <c r="K126" s="41">
        <f t="shared" si="11"/>
        <v>0</v>
      </c>
      <c r="L126" s="16"/>
      <c r="M126" s="37"/>
    </row>
    <row r="127" spans="1:13" ht="15.75">
      <c r="A127" s="30" t="s">
        <v>184</v>
      </c>
      <c r="B127" s="31" t="s">
        <v>138</v>
      </c>
      <c r="C127" s="35">
        <v>1</v>
      </c>
      <c r="D127" s="40" t="s">
        <v>177</v>
      </c>
      <c r="E127" s="37">
        <f t="shared" si="8"/>
        <v>68055555.555555537</v>
      </c>
      <c r="F127" s="27">
        <f t="shared" ref="F127:F135" si="15">E127*C127</f>
        <v>68055555.555555537</v>
      </c>
      <c r="G127" s="38">
        <v>0.08</v>
      </c>
      <c r="H127" s="26">
        <f t="shared" si="9"/>
        <v>5444444</v>
      </c>
      <c r="I127" s="26">
        <f t="shared" si="10"/>
        <v>73499999.555555537</v>
      </c>
      <c r="J127" s="3"/>
      <c r="K127" s="41">
        <f t="shared" si="11"/>
        <v>1388888.8888888888</v>
      </c>
      <c r="L127" s="16"/>
      <c r="M127" s="37">
        <v>69444444.444444433</v>
      </c>
    </row>
    <row r="128" spans="1:13" ht="15.75">
      <c r="A128" s="30" t="s">
        <v>185</v>
      </c>
      <c r="B128" s="31" t="s">
        <v>139</v>
      </c>
      <c r="C128" s="35">
        <v>24</v>
      </c>
      <c r="D128" s="40" t="s">
        <v>180</v>
      </c>
      <c r="E128" s="37">
        <f t="shared" si="8"/>
        <v>272222.22222222219</v>
      </c>
      <c r="F128" s="27">
        <f t="shared" si="15"/>
        <v>6533333.3333333321</v>
      </c>
      <c r="G128" s="38">
        <v>0.08</v>
      </c>
      <c r="H128" s="26">
        <f t="shared" si="9"/>
        <v>522667</v>
      </c>
      <c r="I128" s="26">
        <f t="shared" si="10"/>
        <v>7056000.3333333321</v>
      </c>
      <c r="J128" s="3"/>
      <c r="K128" s="41">
        <f t="shared" si="11"/>
        <v>5555.5555555555547</v>
      </c>
      <c r="L128" s="16"/>
      <c r="M128" s="37">
        <v>277777.77777777775</v>
      </c>
    </row>
    <row r="129" spans="1:13" ht="15.75">
      <c r="A129" s="30" t="s">
        <v>186</v>
      </c>
      <c r="B129" s="31" t="s">
        <v>140</v>
      </c>
      <c r="C129" s="35">
        <v>100</v>
      </c>
      <c r="D129" s="40" t="s">
        <v>161</v>
      </c>
      <c r="E129" s="37">
        <f t="shared" si="8"/>
        <v>90740.74074074073</v>
      </c>
      <c r="F129" s="27">
        <f t="shared" si="15"/>
        <v>9074074.0740740728</v>
      </c>
      <c r="G129" s="38">
        <v>0.08</v>
      </c>
      <c r="H129" s="26">
        <f t="shared" si="9"/>
        <v>725926</v>
      </c>
      <c r="I129" s="26">
        <f t="shared" si="10"/>
        <v>9800000.0740740728</v>
      </c>
      <c r="J129" s="3"/>
      <c r="K129" s="41">
        <f t="shared" si="11"/>
        <v>1851.8518518518517</v>
      </c>
      <c r="L129" s="16"/>
      <c r="M129" s="37">
        <v>92592.592592592584</v>
      </c>
    </row>
    <row r="130" spans="1:13" ht="15.75">
      <c r="A130" s="30" t="s">
        <v>187</v>
      </c>
      <c r="B130" s="31" t="s">
        <v>141</v>
      </c>
      <c r="C130" s="35">
        <v>150</v>
      </c>
      <c r="D130" s="40" t="s">
        <v>161</v>
      </c>
      <c r="E130" s="37">
        <f t="shared" si="8"/>
        <v>90740.74074074073</v>
      </c>
      <c r="F130" s="27">
        <f t="shared" si="15"/>
        <v>13611111.11111111</v>
      </c>
      <c r="G130" s="38">
        <v>0.08</v>
      </c>
      <c r="H130" s="26">
        <f t="shared" si="9"/>
        <v>1088889</v>
      </c>
      <c r="I130" s="26">
        <f t="shared" si="10"/>
        <v>14700000.11111111</v>
      </c>
      <c r="J130" s="3"/>
      <c r="K130" s="41">
        <f t="shared" si="11"/>
        <v>1851.8518518518517</v>
      </c>
      <c r="L130" s="16"/>
      <c r="M130" s="37">
        <v>92592.592592592584</v>
      </c>
    </row>
    <row r="131" spans="1:13" ht="15.75">
      <c r="A131" s="30" t="s">
        <v>188</v>
      </c>
      <c r="B131" s="31" t="s">
        <v>142</v>
      </c>
      <c r="C131" s="35">
        <v>100</v>
      </c>
      <c r="D131" s="40" t="s">
        <v>166</v>
      </c>
      <c r="E131" s="37">
        <f t="shared" si="8"/>
        <v>63518.518518518511</v>
      </c>
      <c r="F131" s="27">
        <f t="shared" si="15"/>
        <v>6351851.8518518507</v>
      </c>
      <c r="G131" s="38">
        <v>0.08</v>
      </c>
      <c r="H131" s="26">
        <f t="shared" si="9"/>
        <v>508148</v>
      </c>
      <c r="I131" s="26">
        <f t="shared" si="10"/>
        <v>6859999.8518518507</v>
      </c>
      <c r="J131" s="3"/>
      <c r="K131" s="41">
        <f t="shared" si="11"/>
        <v>1296.2962962962963</v>
      </c>
      <c r="L131" s="16"/>
      <c r="M131" s="37">
        <v>64814.81481481481</v>
      </c>
    </row>
    <row r="132" spans="1:13" ht="15.75">
      <c r="A132" s="30" t="s">
        <v>189</v>
      </c>
      <c r="B132" s="31" t="s">
        <v>143</v>
      </c>
      <c r="C132" s="35">
        <v>20</v>
      </c>
      <c r="D132" s="40" t="s">
        <v>181</v>
      </c>
      <c r="E132" s="37">
        <f t="shared" si="8"/>
        <v>408333.33333333331</v>
      </c>
      <c r="F132" s="27">
        <f t="shared" si="15"/>
        <v>8166666.666666666</v>
      </c>
      <c r="G132" s="38">
        <v>0.08</v>
      </c>
      <c r="H132" s="26">
        <f t="shared" si="9"/>
        <v>653333</v>
      </c>
      <c r="I132" s="26">
        <f t="shared" si="10"/>
        <v>8819999.666666666</v>
      </c>
      <c r="J132" s="3"/>
      <c r="K132" s="41">
        <f t="shared" si="11"/>
        <v>8333.3333333333321</v>
      </c>
      <c r="L132" s="16"/>
      <c r="M132" s="37">
        <v>416666.66666666663</v>
      </c>
    </row>
    <row r="133" spans="1:13" ht="15.75">
      <c r="A133" s="30" t="s">
        <v>190</v>
      </c>
      <c r="B133" s="31" t="s">
        <v>144</v>
      </c>
      <c r="C133" s="35">
        <v>100</v>
      </c>
      <c r="D133" s="40" t="s">
        <v>166</v>
      </c>
      <c r="E133" s="37">
        <f t="shared" si="8"/>
        <v>13611.111111111111</v>
      </c>
      <c r="F133" s="27">
        <f t="shared" si="15"/>
        <v>1361111.1111111112</v>
      </c>
      <c r="G133" s="38">
        <v>0.08</v>
      </c>
      <c r="H133" s="26">
        <f t="shared" si="9"/>
        <v>108889</v>
      </c>
      <c r="I133" s="26">
        <f t="shared" si="10"/>
        <v>1470000.1111111112</v>
      </c>
      <c r="J133" s="3"/>
      <c r="K133" s="41">
        <f t="shared" si="11"/>
        <v>277.77777777777777</v>
      </c>
      <c r="L133" s="16"/>
      <c r="M133" s="37">
        <v>13888.888888888889</v>
      </c>
    </row>
    <row r="134" spans="1:13" ht="15.75">
      <c r="A134" s="30" t="s">
        <v>23</v>
      </c>
      <c r="B134" s="31" t="s">
        <v>145</v>
      </c>
      <c r="C134" s="35">
        <v>60</v>
      </c>
      <c r="D134" s="40" t="s">
        <v>166</v>
      </c>
      <c r="E134" s="37">
        <f t="shared" si="8"/>
        <v>40833.333333333328</v>
      </c>
      <c r="F134" s="27">
        <f t="shared" si="15"/>
        <v>2449999.9999999995</v>
      </c>
      <c r="G134" s="38">
        <v>0.08</v>
      </c>
      <c r="H134" s="26">
        <f t="shared" si="9"/>
        <v>196000</v>
      </c>
      <c r="I134" s="26">
        <f t="shared" si="10"/>
        <v>2645999.9999999995</v>
      </c>
      <c r="J134" s="3"/>
      <c r="K134" s="41">
        <f t="shared" si="11"/>
        <v>833.33333333333326</v>
      </c>
      <c r="L134" s="16"/>
      <c r="M134" s="37">
        <v>41666.666666666664</v>
      </c>
    </row>
    <row r="135" spans="1:13" ht="31.5">
      <c r="A135" s="30" t="s">
        <v>191</v>
      </c>
      <c r="B135" s="31" t="s">
        <v>146</v>
      </c>
      <c r="C135" s="35">
        <v>1</v>
      </c>
      <c r="D135" s="40" t="s">
        <v>182</v>
      </c>
      <c r="E135" s="37">
        <f t="shared" si="8"/>
        <v>4537037.0370370373</v>
      </c>
      <c r="F135" s="27">
        <f t="shared" si="15"/>
        <v>4537037.0370370373</v>
      </c>
      <c r="G135" s="38">
        <v>0.08</v>
      </c>
      <c r="H135" s="26">
        <f t="shared" si="9"/>
        <v>362963</v>
      </c>
      <c r="I135" s="26">
        <f t="shared" si="10"/>
        <v>4900000.0370370373</v>
      </c>
      <c r="J135" s="3"/>
      <c r="K135" s="41">
        <f t="shared" si="11"/>
        <v>92592.592592592599</v>
      </c>
      <c r="L135" s="16"/>
      <c r="M135" s="37">
        <v>4629629.6296296297</v>
      </c>
    </row>
    <row r="136" spans="1:13" ht="47.25">
      <c r="A136" s="28" t="s">
        <v>216</v>
      </c>
      <c r="B136" s="29" t="s">
        <v>148</v>
      </c>
      <c r="C136" s="35"/>
      <c r="D136" s="40"/>
      <c r="E136" s="37">
        <f t="shared" si="8"/>
        <v>0</v>
      </c>
      <c r="F136" s="27"/>
      <c r="G136" s="38"/>
      <c r="H136" s="26"/>
      <c r="I136" s="26"/>
      <c r="J136" s="3"/>
      <c r="K136" s="41">
        <f t="shared" si="11"/>
        <v>0</v>
      </c>
      <c r="L136" s="16"/>
      <c r="M136" s="37"/>
    </row>
    <row r="137" spans="1:13" ht="15.75">
      <c r="A137" s="30" t="s">
        <v>184</v>
      </c>
      <c r="B137" s="32" t="s">
        <v>149</v>
      </c>
      <c r="C137" s="35">
        <v>1</v>
      </c>
      <c r="D137" s="40" t="s">
        <v>177</v>
      </c>
      <c r="E137" s="37">
        <f t="shared" ref="E137:E148" si="16">M137-K137</f>
        <v>213240740.74074072</v>
      </c>
      <c r="F137" s="27">
        <f>E137*C137</f>
        <v>213240740.74074072</v>
      </c>
      <c r="G137" s="38">
        <v>0.08</v>
      </c>
      <c r="H137" s="26">
        <f t="shared" ref="H137:H148" si="17">ROUND(F137*G137,0)</f>
        <v>17059259</v>
      </c>
      <c r="I137" s="26">
        <f t="shared" ref="I137:I148" si="18">F137+H137</f>
        <v>230299999.74074072</v>
      </c>
      <c r="J137" s="3"/>
      <c r="K137" s="41">
        <f t="shared" ref="K137:K148" si="19">M137*2%</f>
        <v>4351851.8518518517</v>
      </c>
      <c r="L137" s="16"/>
      <c r="M137" s="37">
        <v>217592592.59259257</v>
      </c>
    </row>
    <row r="138" spans="1:13" ht="15.75">
      <c r="A138" s="30" t="s">
        <v>185</v>
      </c>
      <c r="B138" s="32" t="s">
        <v>150</v>
      </c>
      <c r="C138" s="35">
        <v>300</v>
      </c>
      <c r="D138" s="40" t="s">
        <v>166</v>
      </c>
      <c r="E138" s="37">
        <f t="shared" si="16"/>
        <v>13611.111111111111</v>
      </c>
      <c r="F138" s="27">
        <f>E138*C138</f>
        <v>4083333.3333333335</v>
      </c>
      <c r="G138" s="38">
        <v>0.08</v>
      </c>
      <c r="H138" s="26">
        <f t="shared" si="17"/>
        <v>326667</v>
      </c>
      <c r="I138" s="26">
        <f t="shared" si="18"/>
        <v>4410000.333333334</v>
      </c>
      <c r="J138" s="3"/>
      <c r="K138" s="41">
        <f t="shared" si="19"/>
        <v>277.77777777777777</v>
      </c>
      <c r="L138" s="16"/>
      <c r="M138" s="37">
        <v>13888.888888888889</v>
      </c>
    </row>
    <row r="139" spans="1:13" ht="15.75">
      <c r="A139" s="30" t="s">
        <v>186</v>
      </c>
      <c r="B139" s="32" t="s">
        <v>151</v>
      </c>
      <c r="C139" s="35">
        <v>11</v>
      </c>
      <c r="D139" s="40" t="s">
        <v>1</v>
      </c>
      <c r="E139" s="37">
        <f t="shared" si="16"/>
        <v>453703.70370370365</v>
      </c>
      <c r="F139" s="27">
        <f>E139*C139</f>
        <v>4990740.7407407397</v>
      </c>
      <c r="G139" s="38">
        <v>0.08</v>
      </c>
      <c r="H139" s="26">
        <f t="shared" si="17"/>
        <v>399259</v>
      </c>
      <c r="I139" s="26">
        <f t="shared" si="18"/>
        <v>5389999.7407407397</v>
      </c>
      <c r="J139" s="3"/>
      <c r="K139" s="41">
        <f t="shared" si="19"/>
        <v>9259.2592592592591</v>
      </c>
      <c r="L139" s="16"/>
      <c r="M139" s="37">
        <v>462962.96296296292</v>
      </c>
    </row>
    <row r="140" spans="1:13" ht="31.5">
      <c r="A140" s="30" t="s">
        <v>187</v>
      </c>
      <c r="B140" s="32" t="s">
        <v>152</v>
      </c>
      <c r="C140" s="35">
        <v>1</v>
      </c>
      <c r="D140" s="40" t="s">
        <v>182</v>
      </c>
      <c r="E140" s="37">
        <f t="shared" si="16"/>
        <v>4537037.0370370373</v>
      </c>
      <c r="F140" s="27">
        <f>E140*C140</f>
        <v>4537037.0370370373</v>
      </c>
      <c r="G140" s="38">
        <v>0.08</v>
      </c>
      <c r="H140" s="26">
        <f t="shared" si="17"/>
        <v>362963</v>
      </c>
      <c r="I140" s="26">
        <f t="shared" si="18"/>
        <v>4900000.0370370373</v>
      </c>
      <c r="J140" s="3"/>
      <c r="K140" s="41">
        <f t="shared" si="19"/>
        <v>92592.592592592599</v>
      </c>
      <c r="L140" s="16"/>
      <c r="M140" s="37">
        <v>4629629.6296296297</v>
      </c>
    </row>
    <row r="141" spans="1:13" ht="31.5">
      <c r="A141" s="28" t="s">
        <v>217</v>
      </c>
      <c r="B141" s="29" t="s">
        <v>153</v>
      </c>
      <c r="C141" s="35"/>
      <c r="D141" s="40"/>
      <c r="E141" s="37">
        <f t="shared" si="16"/>
        <v>0</v>
      </c>
      <c r="F141" s="27"/>
      <c r="G141" s="38"/>
      <c r="H141" s="26"/>
      <c r="I141" s="26"/>
      <c r="J141" s="3"/>
      <c r="K141" s="41">
        <f t="shared" si="19"/>
        <v>0</v>
      </c>
      <c r="L141" s="16"/>
      <c r="M141" s="37"/>
    </row>
    <row r="142" spans="1:13" ht="15.75">
      <c r="A142" s="30" t="s">
        <v>184</v>
      </c>
      <c r="B142" s="32" t="s">
        <v>154</v>
      </c>
      <c r="C142" s="35">
        <v>1</v>
      </c>
      <c r="D142" s="40" t="s">
        <v>1</v>
      </c>
      <c r="E142" s="37">
        <f t="shared" si="16"/>
        <v>22685185.185185183</v>
      </c>
      <c r="F142" s="27">
        <f t="shared" ref="F142:F148" si="20">E142*C142</f>
        <v>22685185.185185183</v>
      </c>
      <c r="G142" s="38">
        <v>0.08</v>
      </c>
      <c r="H142" s="26">
        <f t="shared" si="17"/>
        <v>1814815</v>
      </c>
      <c r="I142" s="26">
        <f t="shared" si="18"/>
        <v>24500000.185185183</v>
      </c>
      <c r="J142" s="3"/>
      <c r="K142" s="41">
        <f t="shared" si="19"/>
        <v>462962.96296296292</v>
      </c>
      <c r="L142" s="16"/>
      <c r="M142" s="37">
        <v>23148148.148148146</v>
      </c>
    </row>
    <row r="143" spans="1:13" ht="63">
      <c r="A143" s="30" t="s">
        <v>185</v>
      </c>
      <c r="B143" s="32" t="s">
        <v>155</v>
      </c>
      <c r="C143" s="35">
        <v>2</v>
      </c>
      <c r="D143" s="40" t="s">
        <v>167</v>
      </c>
      <c r="E143" s="37">
        <f t="shared" si="16"/>
        <v>5898148.1481481474</v>
      </c>
      <c r="F143" s="27">
        <f t="shared" si="20"/>
        <v>11796296.296296295</v>
      </c>
      <c r="G143" s="38">
        <v>0.08</v>
      </c>
      <c r="H143" s="26">
        <f t="shared" si="17"/>
        <v>943704</v>
      </c>
      <c r="I143" s="26">
        <f t="shared" si="18"/>
        <v>12740000.296296295</v>
      </c>
      <c r="J143" s="3"/>
      <c r="K143" s="41">
        <f t="shared" si="19"/>
        <v>120370.37037037035</v>
      </c>
      <c r="L143" s="16"/>
      <c r="M143" s="37">
        <v>6018518.5185185177</v>
      </c>
    </row>
    <row r="144" spans="1:13" ht="15.75">
      <c r="A144" s="30" t="s">
        <v>186</v>
      </c>
      <c r="B144" s="32" t="s">
        <v>156</v>
      </c>
      <c r="C144" s="35">
        <v>90</v>
      </c>
      <c r="D144" s="40" t="s">
        <v>166</v>
      </c>
      <c r="E144" s="37">
        <f t="shared" si="16"/>
        <v>13611.111111111111</v>
      </c>
      <c r="F144" s="27">
        <f t="shared" si="20"/>
        <v>1225000</v>
      </c>
      <c r="G144" s="38">
        <v>0.08</v>
      </c>
      <c r="H144" s="26">
        <f t="shared" si="17"/>
        <v>98000</v>
      </c>
      <c r="I144" s="26">
        <f t="shared" si="18"/>
        <v>1323000</v>
      </c>
      <c r="J144" s="3"/>
      <c r="K144" s="41">
        <f t="shared" si="19"/>
        <v>277.77777777777777</v>
      </c>
      <c r="L144" s="16"/>
      <c r="M144" s="37">
        <v>13888.888888888889</v>
      </c>
    </row>
    <row r="145" spans="1:13" ht="15.75">
      <c r="A145" s="30" t="s">
        <v>187</v>
      </c>
      <c r="B145" s="32" t="s">
        <v>157</v>
      </c>
      <c r="C145" s="35">
        <v>100</v>
      </c>
      <c r="D145" s="40" t="s">
        <v>166</v>
      </c>
      <c r="E145" s="37">
        <f t="shared" si="16"/>
        <v>40833.333333333328</v>
      </c>
      <c r="F145" s="27">
        <f t="shared" si="20"/>
        <v>4083333.333333333</v>
      </c>
      <c r="G145" s="38">
        <v>0.08</v>
      </c>
      <c r="H145" s="26">
        <f t="shared" si="17"/>
        <v>326667</v>
      </c>
      <c r="I145" s="26">
        <f t="shared" si="18"/>
        <v>4410000.333333333</v>
      </c>
      <c r="J145" s="3"/>
      <c r="K145" s="41">
        <f t="shared" si="19"/>
        <v>833.33333333333326</v>
      </c>
      <c r="L145" s="16"/>
      <c r="M145" s="37">
        <v>41666.666666666664</v>
      </c>
    </row>
    <row r="146" spans="1:13" ht="15.75">
      <c r="A146" s="30" t="s">
        <v>188</v>
      </c>
      <c r="B146" s="32" t="s">
        <v>158</v>
      </c>
      <c r="C146" s="35">
        <v>100</v>
      </c>
      <c r="D146" s="40" t="s">
        <v>166</v>
      </c>
      <c r="E146" s="37">
        <f t="shared" si="16"/>
        <v>36296.296296296299</v>
      </c>
      <c r="F146" s="27">
        <f t="shared" si="20"/>
        <v>3629629.6296296301</v>
      </c>
      <c r="G146" s="38">
        <v>0.08</v>
      </c>
      <c r="H146" s="26">
        <f t="shared" si="17"/>
        <v>290370</v>
      </c>
      <c r="I146" s="26">
        <f t="shared" si="18"/>
        <v>3919999.6296296301</v>
      </c>
      <c r="J146" s="3"/>
      <c r="K146" s="41">
        <f t="shared" si="19"/>
        <v>740.74074074074076</v>
      </c>
      <c r="L146" s="16"/>
      <c r="M146" s="37">
        <v>37037.037037037036</v>
      </c>
    </row>
    <row r="147" spans="1:13" ht="15.75">
      <c r="A147" s="30" t="s">
        <v>189</v>
      </c>
      <c r="B147" s="32" t="s">
        <v>159</v>
      </c>
      <c r="C147" s="35">
        <v>50</v>
      </c>
      <c r="D147" s="40" t="s">
        <v>166</v>
      </c>
      <c r="E147" s="37">
        <f t="shared" si="16"/>
        <v>45370.370370370365</v>
      </c>
      <c r="F147" s="27">
        <f t="shared" si="20"/>
        <v>2268518.5185185182</v>
      </c>
      <c r="G147" s="38">
        <v>0.08</v>
      </c>
      <c r="H147" s="26">
        <f t="shared" si="17"/>
        <v>181481</v>
      </c>
      <c r="I147" s="26">
        <f t="shared" si="18"/>
        <v>2449999.5185185182</v>
      </c>
      <c r="J147" s="3"/>
      <c r="K147" s="41">
        <f t="shared" si="19"/>
        <v>925.92592592592587</v>
      </c>
      <c r="L147" s="16"/>
      <c r="M147" s="37">
        <v>46296.296296296292</v>
      </c>
    </row>
    <row r="148" spans="1:13" ht="15.75">
      <c r="A148" s="30" t="s">
        <v>190</v>
      </c>
      <c r="B148" s="32" t="s">
        <v>160</v>
      </c>
      <c r="C148" s="35">
        <v>1</v>
      </c>
      <c r="D148" s="40" t="s">
        <v>2</v>
      </c>
      <c r="E148" s="37">
        <f t="shared" si="16"/>
        <v>4537037.0370370373</v>
      </c>
      <c r="F148" s="27">
        <f t="shared" si="20"/>
        <v>4537037.0370370373</v>
      </c>
      <c r="G148" s="38">
        <v>0.08</v>
      </c>
      <c r="H148" s="26">
        <f t="shared" si="17"/>
        <v>362963</v>
      </c>
      <c r="I148" s="26">
        <f t="shared" si="18"/>
        <v>4900000.0370370373</v>
      </c>
      <c r="J148" s="3"/>
      <c r="K148" s="41">
        <f t="shared" si="19"/>
        <v>92592.592592592599</v>
      </c>
      <c r="L148" s="16"/>
      <c r="M148" s="37">
        <v>4629629.6296296297</v>
      </c>
    </row>
    <row r="149" spans="1:13" ht="24.75" customHeight="1">
      <c r="A149" s="117" t="s">
        <v>20</v>
      </c>
      <c r="B149" s="117"/>
      <c r="C149" s="117"/>
      <c r="D149" s="117"/>
      <c r="E149" s="117"/>
      <c r="F149" s="17"/>
      <c r="G149" s="18"/>
      <c r="H149" s="19"/>
      <c r="I149" s="17">
        <f>SUM(F8:F148)</f>
        <v>1272959548.7768517</v>
      </c>
      <c r="J149" s="3"/>
    </row>
    <row r="150" spans="1:13" ht="24.75" customHeight="1">
      <c r="A150" s="117" t="s">
        <v>10</v>
      </c>
      <c r="B150" s="117"/>
      <c r="C150" s="117"/>
      <c r="D150" s="117"/>
      <c r="E150" s="117"/>
      <c r="F150" s="17"/>
      <c r="G150" s="18"/>
      <c r="H150" s="19"/>
      <c r="I150" s="17">
        <f>SUM(H8:H148)</f>
        <v>101836765</v>
      </c>
      <c r="J150" s="3"/>
    </row>
    <row r="151" spans="1:13" ht="24.75" customHeight="1">
      <c r="A151" s="117" t="s">
        <v>21</v>
      </c>
      <c r="B151" s="117"/>
      <c r="C151" s="117"/>
      <c r="D151" s="117"/>
      <c r="E151" s="117"/>
      <c r="F151" s="22"/>
      <c r="G151" s="22"/>
      <c r="H151" s="20"/>
      <c r="I151" s="17">
        <f>I149+I150</f>
        <v>1374796313.7768517</v>
      </c>
      <c r="J151" s="3"/>
      <c r="M151" s="14"/>
    </row>
    <row r="152" spans="1:13" ht="21.75" customHeight="1">
      <c r="A152" s="118" t="s">
        <v>763</v>
      </c>
      <c r="B152" s="119"/>
      <c r="C152" s="119"/>
      <c r="D152" s="119"/>
      <c r="E152" s="119"/>
      <c r="F152" s="119"/>
      <c r="G152" s="119"/>
      <c r="H152" s="119"/>
      <c r="I152" s="119"/>
      <c r="J152" s="120"/>
      <c r="M152" s="10"/>
    </row>
    <row r="153" spans="1:13">
      <c r="E153" s="13"/>
      <c r="F153" s="11"/>
      <c r="G153" s="11"/>
      <c r="H153" s="11"/>
      <c r="I153" s="11"/>
      <c r="M153" s="13"/>
    </row>
    <row r="154" spans="1:13">
      <c r="E154" s="6"/>
      <c r="F154" s="6"/>
      <c r="G154" s="6"/>
      <c r="H154" s="21" t="s">
        <v>15</v>
      </c>
      <c r="I154" s="23">
        <f>I149*30%</f>
        <v>381887864.63305551</v>
      </c>
      <c r="J154" s="25">
        <f>I154/$I$151</f>
        <v>0.27777777755595667</v>
      </c>
      <c r="M154" s="6"/>
    </row>
    <row r="155" spans="1:13">
      <c r="E155" s="6"/>
      <c r="H155" s="21" t="s">
        <v>16</v>
      </c>
      <c r="I155" s="23">
        <f>ROUND(I151*50%-I154,0)</f>
        <v>305510292</v>
      </c>
      <c r="J155" s="25">
        <f>I155/$I$151</f>
        <v>0.22222222225829194</v>
      </c>
      <c r="M155" s="6"/>
    </row>
    <row r="156" spans="1:13">
      <c r="E156" s="6"/>
      <c r="F156" s="6"/>
      <c r="G156" s="6"/>
      <c r="H156" s="21" t="s">
        <v>17</v>
      </c>
      <c r="I156" s="23">
        <f>ROUND(I151*70%-SUM(I154:I155),0)</f>
        <v>274959263</v>
      </c>
      <c r="J156" s="25">
        <f>I156/$I$151</f>
        <v>0.20000000017793884</v>
      </c>
      <c r="M156" s="6"/>
    </row>
    <row r="157" spans="1:13">
      <c r="E157" s="10"/>
      <c r="H157" s="21" t="s">
        <v>18</v>
      </c>
      <c r="I157" s="23">
        <f>ROUND(I151*90%-SUM(I154:I156),0)</f>
        <v>274959263</v>
      </c>
      <c r="J157" s="25">
        <f>I157/$I$151</f>
        <v>0.20000000017793884</v>
      </c>
      <c r="M157" s="10"/>
    </row>
    <row r="158" spans="1:13">
      <c r="E158" s="10"/>
      <c r="F158" s="10"/>
      <c r="G158" s="10"/>
      <c r="H158" s="21" t="s">
        <v>19</v>
      </c>
      <c r="I158" s="23">
        <f>I151-SUM(I154:I157)</f>
        <v>137479631.14379621</v>
      </c>
      <c r="J158" s="25">
        <f>I158/$I$151</f>
        <v>9.9999999829873731E-2</v>
      </c>
      <c r="M158" s="10"/>
    </row>
    <row r="159" spans="1:13">
      <c r="I159" s="24">
        <f>SUM(I154:I158)</f>
        <v>1374796313.7768517</v>
      </c>
    </row>
  </sheetData>
  <mergeCells count="17">
    <mergeCell ref="M5:M6"/>
    <mergeCell ref="A1:J1"/>
    <mergeCell ref="A2:J2"/>
    <mergeCell ref="A3:J3"/>
    <mergeCell ref="A5:A6"/>
    <mergeCell ref="B5:B6"/>
    <mergeCell ref="C5:C6"/>
    <mergeCell ref="D5:D6"/>
    <mergeCell ref="E5:E6"/>
    <mergeCell ref="F5:F6"/>
    <mergeCell ref="G5:H5"/>
    <mergeCell ref="A149:E149"/>
    <mergeCell ref="A151:E151"/>
    <mergeCell ref="A150:E150"/>
    <mergeCell ref="A152:J152"/>
    <mergeCell ref="I5:I6"/>
    <mergeCell ref="J5:J6"/>
  </mergeCells>
  <conditionalFormatting sqref="F149:F150">
    <cfRule type="expression" dxfId="1" priority="2">
      <formula>$F$161&lt;&gt;$J$161</formula>
    </cfRule>
  </conditionalFormatting>
  <conditionalFormatting sqref="I149:I151">
    <cfRule type="expression" dxfId="0" priority="1">
      <formula>$F$161&lt;&gt;$J$161</formula>
    </cfRule>
  </conditionalFormatting>
  <printOptions horizontalCentered="1"/>
  <pageMargins left="0.18" right="0.17" top="0.34" bottom="0.32" header="0.11" footer="0.14000000000000001"/>
  <pageSetup paperSize="9" scale="79" fitToHeight="0" orientation="landscape" r:id="rId1"/>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27"/>
  <sheetViews>
    <sheetView view="pageBreakPreview" zoomScaleNormal="100" zoomScaleSheetLayoutView="100" workbookViewId="0">
      <pane ySplit="7" topLeftCell="A143" activePane="bottomLeft" state="frozen"/>
      <selection pane="bottomLeft" activeCell="A202" sqref="A202"/>
    </sheetView>
  </sheetViews>
  <sheetFormatPr defaultColWidth="9.140625" defaultRowHeight="15.75"/>
  <cols>
    <col min="1" max="1" width="7" style="103" customWidth="1"/>
    <col min="2" max="2" width="33.7109375" style="112" customWidth="1"/>
    <col min="3" max="3" width="8.85546875" style="103" customWidth="1"/>
    <col min="4" max="4" width="30.7109375" style="103" customWidth="1"/>
    <col min="5" max="5" width="26.7109375" style="113" customWidth="1"/>
    <col min="6" max="6" width="17" style="54" customWidth="1"/>
    <col min="7" max="16384" width="9.140625" style="54"/>
  </cols>
  <sheetData>
    <row r="1" spans="1:6" ht="16.5" hidden="1">
      <c r="A1" s="126" t="s">
        <v>758</v>
      </c>
      <c r="B1" s="127"/>
      <c r="C1" s="127"/>
      <c r="D1" s="127"/>
      <c r="E1" s="127"/>
    </row>
    <row r="2" spans="1:6" ht="16.5" hidden="1">
      <c r="A2" s="127" t="s">
        <v>757</v>
      </c>
      <c r="B2" s="127"/>
      <c r="C2" s="127"/>
      <c r="D2" s="127"/>
      <c r="E2" s="127"/>
      <c r="F2" s="55"/>
    </row>
    <row r="3" spans="1:6" ht="16.5" hidden="1">
      <c r="A3" s="127" t="s">
        <v>233</v>
      </c>
      <c r="B3" s="127"/>
      <c r="C3" s="127"/>
      <c r="D3" s="127"/>
      <c r="E3" s="127"/>
      <c r="F3" s="55"/>
    </row>
    <row r="4" spans="1:6" ht="16.5" hidden="1">
      <c r="A4" s="126" t="s">
        <v>234</v>
      </c>
      <c r="B4" s="126"/>
      <c r="C4" s="126"/>
      <c r="D4" s="126"/>
      <c r="E4" s="126"/>
      <c r="F4" s="55"/>
    </row>
    <row r="5" spans="1:6" hidden="1"/>
    <row r="6" spans="1:6">
      <c r="A6" s="128" t="s">
        <v>235</v>
      </c>
      <c r="B6" s="128" t="s">
        <v>236</v>
      </c>
      <c r="C6" s="128"/>
      <c r="D6" s="128"/>
      <c r="E6" s="129" t="s">
        <v>237</v>
      </c>
    </row>
    <row r="7" spans="1:6">
      <c r="A7" s="128"/>
      <c r="B7" s="56" t="s">
        <v>238</v>
      </c>
      <c r="C7" s="57" t="s">
        <v>239</v>
      </c>
      <c r="D7" s="57" t="s">
        <v>240</v>
      </c>
      <c r="E7" s="129"/>
    </row>
    <row r="8" spans="1:6">
      <c r="A8" s="58" t="s">
        <v>213</v>
      </c>
      <c r="B8" s="130" t="s">
        <v>276</v>
      </c>
      <c r="C8" s="130"/>
      <c r="D8" s="129"/>
      <c r="E8" s="63"/>
    </row>
    <row r="9" spans="1:6" ht="49.5">
      <c r="A9" s="40">
        <v>1</v>
      </c>
      <c r="B9" s="32" t="s">
        <v>241</v>
      </c>
      <c r="C9" s="40"/>
      <c r="D9" s="40" t="s">
        <v>242</v>
      </c>
      <c r="E9" s="60" t="s">
        <v>264</v>
      </c>
    </row>
    <row r="10" spans="1:6" ht="16.5">
      <c r="A10" s="40">
        <v>2</v>
      </c>
      <c r="B10" s="32" t="s">
        <v>243</v>
      </c>
      <c r="C10" s="40"/>
      <c r="D10" s="40" t="s">
        <v>242</v>
      </c>
      <c r="E10" s="60" t="s">
        <v>221</v>
      </c>
    </row>
    <row r="11" spans="1:6" ht="47.25">
      <c r="A11" s="40">
        <v>3</v>
      </c>
      <c r="B11" s="32" t="s">
        <v>245</v>
      </c>
      <c r="C11" s="40"/>
      <c r="D11" s="40" t="s">
        <v>277</v>
      </c>
      <c r="E11" s="40" t="s">
        <v>249</v>
      </c>
    </row>
    <row r="12" spans="1:6" ht="94.5">
      <c r="A12" s="40">
        <v>4</v>
      </c>
      <c r="B12" s="32" t="s">
        <v>278</v>
      </c>
      <c r="C12" s="40"/>
      <c r="D12" s="40" t="s">
        <v>279</v>
      </c>
      <c r="E12" s="40" t="s">
        <v>249</v>
      </c>
    </row>
    <row r="13" spans="1:6">
      <c r="A13" s="40">
        <v>5</v>
      </c>
      <c r="B13" s="32" t="s">
        <v>265</v>
      </c>
      <c r="C13" s="40"/>
      <c r="D13" s="40" t="s">
        <v>280</v>
      </c>
      <c r="E13" s="40" t="s">
        <v>249</v>
      </c>
    </row>
    <row r="14" spans="1:6">
      <c r="A14" s="40">
        <v>6</v>
      </c>
      <c r="B14" s="32" t="s">
        <v>266</v>
      </c>
      <c r="C14" s="40"/>
      <c r="D14" s="40" t="s">
        <v>281</v>
      </c>
      <c r="E14" s="40" t="s">
        <v>249</v>
      </c>
    </row>
    <row r="15" spans="1:6" ht="126">
      <c r="A15" s="40">
        <v>7</v>
      </c>
      <c r="B15" s="32" t="s">
        <v>282</v>
      </c>
      <c r="C15" s="40"/>
      <c r="D15" s="40" t="s">
        <v>283</v>
      </c>
      <c r="E15" s="40" t="s">
        <v>249</v>
      </c>
    </row>
    <row r="16" spans="1:6" ht="31.5">
      <c r="A16" s="40">
        <v>8</v>
      </c>
      <c r="B16" s="32" t="s">
        <v>284</v>
      </c>
      <c r="C16" s="40"/>
      <c r="D16" s="40" t="s">
        <v>285</v>
      </c>
      <c r="E16" s="40" t="s">
        <v>249</v>
      </c>
    </row>
    <row r="17" spans="1:5" ht="63">
      <c r="A17" s="40">
        <v>9</v>
      </c>
      <c r="B17" s="32" t="s">
        <v>267</v>
      </c>
      <c r="C17" s="40"/>
      <c r="D17" s="40" t="s">
        <v>286</v>
      </c>
      <c r="E17" s="40" t="s">
        <v>249</v>
      </c>
    </row>
    <row r="18" spans="1:5" ht="31.5">
      <c r="A18" s="40">
        <v>10</v>
      </c>
      <c r="B18" s="32" t="s">
        <v>287</v>
      </c>
      <c r="C18" s="40"/>
      <c r="D18" s="131" t="s">
        <v>288</v>
      </c>
      <c r="E18" s="131" t="s">
        <v>249</v>
      </c>
    </row>
    <row r="19" spans="1:5" ht="31.5">
      <c r="A19" s="40">
        <v>11</v>
      </c>
      <c r="B19" s="32" t="s">
        <v>289</v>
      </c>
      <c r="C19" s="40"/>
      <c r="D19" s="131"/>
      <c r="E19" s="131"/>
    </row>
    <row r="20" spans="1:5">
      <c r="A20" s="40">
        <v>12</v>
      </c>
      <c r="B20" s="32" t="s">
        <v>290</v>
      </c>
      <c r="C20" s="40"/>
      <c r="D20" s="64"/>
      <c r="E20" s="40"/>
    </row>
    <row r="21" spans="1:5">
      <c r="A21" s="40"/>
      <c r="B21" s="32" t="s">
        <v>268</v>
      </c>
      <c r="C21" s="40"/>
      <c r="D21" s="40" t="s">
        <v>291</v>
      </c>
      <c r="E21" s="40" t="s">
        <v>249</v>
      </c>
    </row>
    <row r="22" spans="1:5">
      <c r="A22" s="40"/>
      <c r="B22" s="32" t="s">
        <v>269</v>
      </c>
      <c r="C22" s="40"/>
      <c r="D22" s="40" t="s">
        <v>292</v>
      </c>
      <c r="E22" s="40" t="s">
        <v>249</v>
      </c>
    </row>
    <row r="23" spans="1:5" ht="31.5">
      <c r="A23" s="40">
        <v>13</v>
      </c>
      <c r="B23" s="32" t="s">
        <v>293</v>
      </c>
      <c r="C23" s="40"/>
      <c r="D23" s="40" t="s">
        <v>294</v>
      </c>
      <c r="E23" s="40" t="s">
        <v>249</v>
      </c>
    </row>
    <row r="24" spans="1:5" ht="31.5">
      <c r="A24" s="40">
        <v>14</v>
      </c>
      <c r="B24" s="32" t="s">
        <v>295</v>
      </c>
      <c r="C24" s="40"/>
      <c r="D24" s="40" t="s">
        <v>296</v>
      </c>
      <c r="E24" s="40" t="s">
        <v>249</v>
      </c>
    </row>
    <row r="25" spans="1:5" ht="264">
      <c r="A25" s="40">
        <v>15</v>
      </c>
      <c r="B25" s="32" t="s">
        <v>297</v>
      </c>
      <c r="C25" s="40"/>
      <c r="D25" s="40" t="s">
        <v>298</v>
      </c>
      <c r="E25" s="60" t="s">
        <v>299</v>
      </c>
    </row>
    <row r="26" spans="1:5">
      <c r="A26" s="40">
        <v>16</v>
      </c>
      <c r="B26" s="32" t="s">
        <v>271</v>
      </c>
      <c r="C26" s="40"/>
      <c r="D26" s="40" t="s">
        <v>300</v>
      </c>
      <c r="E26" s="40" t="s">
        <v>249</v>
      </c>
    </row>
    <row r="27" spans="1:5" ht="31.5">
      <c r="A27" s="40">
        <v>17</v>
      </c>
      <c r="B27" s="32" t="s">
        <v>272</v>
      </c>
      <c r="C27" s="40"/>
      <c r="D27" s="40" t="s">
        <v>301</v>
      </c>
      <c r="E27" s="40" t="s">
        <v>249</v>
      </c>
    </row>
    <row r="28" spans="1:5" ht="31.5">
      <c r="A28" s="40">
        <v>18</v>
      </c>
      <c r="B28" s="32" t="s">
        <v>302</v>
      </c>
      <c r="C28" s="40"/>
      <c r="D28" s="40" t="s">
        <v>303</v>
      </c>
      <c r="E28" s="40" t="s">
        <v>304</v>
      </c>
    </row>
    <row r="29" spans="1:5">
      <c r="A29" s="40">
        <v>19</v>
      </c>
      <c r="B29" s="32" t="s">
        <v>263</v>
      </c>
      <c r="C29" s="40"/>
      <c r="D29" s="40"/>
      <c r="E29" s="40"/>
    </row>
    <row r="30" spans="1:5" ht="63">
      <c r="A30" s="40">
        <v>19.100000000000001</v>
      </c>
      <c r="B30" s="32" t="s">
        <v>273</v>
      </c>
      <c r="C30" s="40"/>
      <c r="D30" s="40" t="s">
        <v>305</v>
      </c>
      <c r="E30" s="40" t="s">
        <v>306</v>
      </c>
    </row>
    <row r="31" spans="1:5" ht="31.5">
      <c r="A31" s="40">
        <v>19.2</v>
      </c>
      <c r="B31" s="32" t="s">
        <v>274</v>
      </c>
      <c r="C31" s="40"/>
      <c r="D31" s="40" t="s">
        <v>307</v>
      </c>
      <c r="E31" s="40" t="s">
        <v>249</v>
      </c>
    </row>
    <row r="32" spans="1:5">
      <c r="A32" s="40">
        <v>19.3</v>
      </c>
      <c r="B32" s="32" t="s">
        <v>308</v>
      </c>
      <c r="C32" s="40"/>
      <c r="D32" s="40" t="s">
        <v>309</v>
      </c>
      <c r="E32" s="40" t="s">
        <v>249</v>
      </c>
    </row>
    <row r="33" spans="1:5">
      <c r="A33" s="58" t="s">
        <v>214</v>
      </c>
      <c r="B33" s="130" t="s">
        <v>310</v>
      </c>
      <c r="C33" s="130"/>
      <c r="D33" s="129"/>
      <c r="E33" s="63"/>
    </row>
    <row r="34" spans="1:5" ht="49.5">
      <c r="A34" s="40">
        <v>1</v>
      </c>
      <c r="B34" s="32" t="s">
        <v>241</v>
      </c>
      <c r="C34" s="40"/>
      <c r="D34" s="40" t="s">
        <v>242</v>
      </c>
      <c r="E34" s="60" t="s">
        <v>264</v>
      </c>
    </row>
    <row r="35" spans="1:5" ht="16.5">
      <c r="A35" s="40">
        <v>2</v>
      </c>
      <c r="B35" s="32" t="s">
        <v>243</v>
      </c>
      <c r="C35" s="40"/>
      <c r="D35" s="40" t="s">
        <v>242</v>
      </c>
      <c r="E35" s="60" t="s">
        <v>221</v>
      </c>
    </row>
    <row r="36" spans="1:5" ht="47.25">
      <c r="A36" s="40">
        <v>3</v>
      </c>
      <c r="B36" s="32" t="s">
        <v>245</v>
      </c>
      <c r="C36" s="40"/>
      <c r="D36" s="40" t="s">
        <v>277</v>
      </c>
      <c r="E36" s="40" t="s">
        <v>249</v>
      </c>
    </row>
    <row r="37" spans="1:5" ht="126">
      <c r="A37" s="40">
        <v>4</v>
      </c>
      <c r="B37" s="32" t="s">
        <v>278</v>
      </c>
      <c r="C37" s="40"/>
      <c r="D37" s="40" t="s">
        <v>311</v>
      </c>
      <c r="E37" s="40" t="s">
        <v>249</v>
      </c>
    </row>
    <row r="38" spans="1:5">
      <c r="A38" s="40">
        <v>5</v>
      </c>
      <c r="B38" s="32" t="s">
        <v>265</v>
      </c>
      <c r="C38" s="40"/>
      <c r="D38" s="40" t="s">
        <v>280</v>
      </c>
      <c r="E38" s="40" t="s">
        <v>249</v>
      </c>
    </row>
    <row r="39" spans="1:5">
      <c r="A39" s="40">
        <v>6</v>
      </c>
      <c r="B39" s="32" t="s">
        <v>266</v>
      </c>
      <c r="C39" s="40"/>
      <c r="D39" s="40" t="s">
        <v>281</v>
      </c>
      <c r="E39" s="40" t="s">
        <v>249</v>
      </c>
    </row>
    <row r="40" spans="1:5" ht="126">
      <c r="A40" s="40">
        <v>7</v>
      </c>
      <c r="B40" s="32" t="s">
        <v>282</v>
      </c>
      <c r="C40" s="40"/>
      <c r="D40" s="40" t="s">
        <v>283</v>
      </c>
      <c r="E40" s="40" t="s">
        <v>249</v>
      </c>
    </row>
    <row r="41" spans="1:5" ht="31.5">
      <c r="A41" s="40">
        <v>8</v>
      </c>
      <c r="B41" s="32" t="s">
        <v>284</v>
      </c>
      <c r="C41" s="40"/>
      <c r="D41" s="40" t="s">
        <v>285</v>
      </c>
      <c r="E41" s="40" t="s">
        <v>312</v>
      </c>
    </row>
    <row r="42" spans="1:5" ht="31.5">
      <c r="A42" s="40">
        <v>9</v>
      </c>
      <c r="B42" s="32" t="s">
        <v>313</v>
      </c>
      <c r="C42" s="40"/>
      <c r="D42" s="40" t="s">
        <v>314</v>
      </c>
      <c r="E42" s="40" t="s">
        <v>249</v>
      </c>
    </row>
    <row r="43" spans="1:5" ht="63">
      <c r="A43" s="40">
        <v>10</v>
      </c>
      <c r="B43" s="32" t="s">
        <v>267</v>
      </c>
      <c r="C43" s="40"/>
      <c r="D43" s="40" t="s">
        <v>286</v>
      </c>
      <c r="E43" s="40" t="s">
        <v>249</v>
      </c>
    </row>
    <row r="44" spans="1:5" ht="31.5">
      <c r="A44" s="40">
        <v>11</v>
      </c>
      <c r="B44" s="32" t="s">
        <v>287</v>
      </c>
      <c r="C44" s="40"/>
      <c r="D44" s="131" t="s">
        <v>315</v>
      </c>
      <c r="E44" s="131" t="s">
        <v>249</v>
      </c>
    </row>
    <row r="45" spans="1:5" ht="31.5">
      <c r="A45" s="40">
        <v>12</v>
      </c>
      <c r="B45" s="32" t="s">
        <v>289</v>
      </c>
      <c r="C45" s="40"/>
      <c r="D45" s="131"/>
      <c r="E45" s="131"/>
    </row>
    <row r="46" spans="1:5">
      <c r="A46" s="40">
        <v>13</v>
      </c>
      <c r="B46" s="32" t="s">
        <v>290</v>
      </c>
      <c r="C46" s="40"/>
      <c r="D46" s="40"/>
      <c r="E46" s="65"/>
    </row>
    <row r="47" spans="1:5">
      <c r="A47" s="40"/>
      <c r="B47" s="32" t="s">
        <v>268</v>
      </c>
      <c r="C47" s="40"/>
      <c r="D47" s="40" t="s">
        <v>291</v>
      </c>
      <c r="E47" s="40" t="s">
        <v>249</v>
      </c>
    </row>
    <row r="48" spans="1:5">
      <c r="A48" s="40"/>
      <c r="B48" s="32" t="s">
        <v>269</v>
      </c>
      <c r="C48" s="40"/>
      <c r="D48" s="40" t="s">
        <v>292</v>
      </c>
      <c r="E48" s="40" t="s">
        <v>249</v>
      </c>
    </row>
    <row r="49" spans="1:5" ht="31.5">
      <c r="A49" s="40">
        <v>14</v>
      </c>
      <c r="B49" s="32" t="s">
        <v>293</v>
      </c>
      <c r="C49" s="40"/>
      <c r="D49" s="40" t="s">
        <v>294</v>
      </c>
      <c r="E49" s="40" t="s">
        <v>249</v>
      </c>
    </row>
    <row r="50" spans="1:5" ht="31.5">
      <c r="A50" s="40">
        <v>15</v>
      </c>
      <c r="B50" s="32" t="s">
        <v>295</v>
      </c>
      <c r="C50" s="40"/>
      <c r="D50" s="40" t="s">
        <v>296</v>
      </c>
      <c r="E50" s="40" t="s">
        <v>249</v>
      </c>
    </row>
    <row r="51" spans="1:5" ht="297">
      <c r="A51" s="40">
        <v>16</v>
      </c>
      <c r="B51" s="32" t="s">
        <v>297</v>
      </c>
      <c r="C51" s="40"/>
      <c r="D51" s="40" t="s">
        <v>298</v>
      </c>
      <c r="E51" s="60" t="s">
        <v>316</v>
      </c>
    </row>
    <row r="52" spans="1:5">
      <c r="A52" s="40">
        <v>17</v>
      </c>
      <c r="B52" s="32" t="s">
        <v>271</v>
      </c>
      <c r="C52" s="40"/>
      <c r="D52" s="40" t="s">
        <v>300</v>
      </c>
      <c r="E52" s="40" t="s">
        <v>249</v>
      </c>
    </row>
    <row r="53" spans="1:5" ht="31.5">
      <c r="A53" s="40">
        <v>18</v>
      </c>
      <c r="B53" s="32" t="s">
        <v>317</v>
      </c>
      <c r="C53" s="40"/>
      <c r="D53" s="40" t="s">
        <v>318</v>
      </c>
      <c r="E53" s="40" t="s">
        <v>249</v>
      </c>
    </row>
    <row r="54" spans="1:5" ht="31.5">
      <c r="A54" s="40">
        <v>19</v>
      </c>
      <c r="B54" s="32" t="s">
        <v>302</v>
      </c>
      <c r="C54" s="40"/>
      <c r="D54" s="40" t="s">
        <v>303</v>
      </c>
      <c r="E54" s="40" t="s">
        <v>304</v>
      </c>
    </row>
    <row r="55" spans="1:5">
      <c r="A55" s="40">
        <v>20</v>
      </c>
      <c r="B55" s="32" t="s">
        <v>263</v>
      </c>
      <c r="C55" s="40"/>
      <c r="D55" s="40"/>
      <c r="E55" s="40"/>
    </row>
    <row r="56" spans="1:5">
      <c r="A56" s="40">
        <v>20.100000000000001</v>
      </c>
      <c r="B56" s="32" t="s">
        <v>273</v>
      </c>
      <c r="C56" s="40"/>
      <c r="D56" s="40" t="s">
        <v>305</v>
      </c>
      <c r="E56" s="40" t="s">
        <v>249</v>
      </c>
    </row>
    <row r="57" spans="1:5" ht="31.5">
      <c r="A57" s="40">
        <v>20.2</v>
      </c>
      <c r="B57" s="32" t="s">
        <v>274</v>
      </c>
      <c r="C57" s="40"/>
      <c r="D57" s="40" t="s">
        <v>307</v>
      </c>
      <c r="E57" s="40" t="s">
        <v>249</v>
      </c>
    </row>
    <row r="58" spans="1:5">
      <c r="A58" s="40">
        <v>20.3</v>
      </c>
      <c r="B58" s="32" t="s">
        <v>308</v>
      </c>
      <c r="C58" s="40"/>
      <c r="D58" s="40" t="s">
        <v>309</v>
      </c>
      <c r="E58" s="40" t="s">
        <v>249</v>
      </c>
    </row>
    <row r="59" spans="1:5">
      <c r="A59" s="57" t="s">
        <v>215</v>
      </c>
      <c r="B59" s="130" t="s">
        <v>319</v>
      </c>
      <c r="C59" s="130"/>
      <c r="D59" s="130"/>
      <c r="E59" s="40"/>
    </row>
    <row r="60" spans="1:5" ht="47.25">
      <c r="A60" s="64">
        <v>1</v>
      </c>
      <c r="B60" s="32" t="s">
        <v>241</v>
      </c>
      <c r="C60" s="57"/>
      <c r="D60" s="40" t="s">
        <v>242</v>
      </c>
      <c r="E60" s="40" t="s">
        <v>320</v>
      </c>
    </row>
    <row r="61" spans="1:5">
      <c r="A61" s="64">
        <v>2</v>
      </c>
      <c r="B61" s="32" t="s">
        <v>243</v>
      </c>
      <c r="C61" s="57"/>
      <c r="D61" s="40" t="s">
        <v>242</v>
      </c>
      <c r="E61" s="40" t="s">
        <v>321</v>
      </c>
    </row>
    <row r="62" spans="1:5">
      <c r="A62" s="64">
        <v>3</v>
      </c>
      <c r="B62" s="32" t="s">
        <v>322</v>
      </c>
      <c r="C62" s="57"/>
      <c r="D62" s="40" t="s">
        <v>242</v>
      </c>
      <c r="E62" s="40" t="s">
        <v>323</v>
      </c>
    </row>
    <row r="63" spans="1:5" ht="126">
      <c r="A63" s="64">
        <v>4</v>
      </c>
      <c r="B63" s="32" t="s">
        <v>245</v>
      </c>
      <c r="C63" s="57"/>
      <c r="D63" s="40" t="s">
        <v>324</v>
      </c>
      <c r="E63" s="40" t="s">
        <v>325</v>
      </c>
    </row>
    <row r="64" spans="1:5" ht="47.25">
      <c r="A64" s="64">
        <v>5</v>
      </c>
      <c r="B64" s="32" t="s">
        <v>326</v>
      </c>
      <c r="C64" s="57"/>
      <c r="D64" s="40" t="s">
        <v>327</v>
      </c>
      <c r="E64" s="40" t="s">
        <v>249</v>
      </c>
    </row>
    <row r="65" spans="1:5" ht="31.5">
      <c r="A65" s="64">
        <v>6</v>
      </c>
      <c r="B65" s="32" t="s">
        <v>328</v>
      </c>
      <c r="C65" s="57"/>
      <c r="D65" s="40" t="s">
        <v>329</v>
      </c>
      <c r="E65" s="40" t="s">
        <v>249</v>
      </c>
    </row>
    <row r="66" spans="1:5">
      <c r="A66" s="64">
        <v>7</v>
      </c>
      <c r="B66" s="32" t="s">
        <v>330</v>
      </c>
      <c r="C66" s="57"/>
      <c r="D66" s="40" t="s">
        <v>331</v>
      </c>
      <c r="E66" s="40" t="s">
        <v>249</v>
      </c>
    </row>
    <row r="67" spans="1:5">
      <c r="A67" s="64">
        <v>8</v>
      </c>
      <c r="B67" s="32" t="s">
        <v>253</v>
      </c>
      <c r="C67" s="57"/>
      <c r="D67" s="40"/>
      <c r="E67" s="40"/>
    </row>
    <row r="68" spans="1:5">
      <c r="A68" s="64"/>
      <c r="B68" s="66" t="s">
        <v>332</v>
      </c>
      <c r="C68" s="57"/>
      <c r="D68" s="40">
        <v>50</v>
      </c>
      <c r="E68" s="40" t="s">
        <v>249</v>
      </c>
    </row>
    <row r="69" spans="1:5">
      <c r="A69" s="64">
        <v>9</v>
      </c>
      <c r="B69" s="32" t="s">
        <v>333</v>
      </c>
      <c r="C69" s="57"/>
      <c r="D69" s="40"/>
      <c r="E69" s="40"/>
    </row>
    <row r="70" spans="1:5">
      <c r="A70" s="64"/>
      <c r="B70" s="66" t="s">
        <v>332</v>
      </c>
      <c r="C70" s="57"/>
      <c r="D70" s="40" t="s">
        <v>334</v>
      </c>
      <c r="E70" s="40" t="s">
        <v>249</v>
      </c>
    </row>
    <row r="71" spans="1:5" ht="31.5">
      <c r="A71" s="64">
        <v>10</v>
      </c>
      <c r="B71" s="32" t="s">
        <v>335</v>
      </c>
      <c r="C71" s="57"/>
      <c r="D71" s="40"/>
      <c r="E71" s="40"/>
    </row>
    <row r="72" spans="1:5">
      <c r="A72" s="64"/>
      <c r="B72" s="66" t="s">
        <v>332</v>
      </c>
      <c r="C72" s="57"/>
      <c r="D72" s="40">
        <v>0.38700000000000001</v>
      </c>
      <c r="E72" s="40" t="s">
        <v>336</v>
      </c>
    </row>
    <row r="73" spans="1:5" ht="63">
      <c r="A73" s="64">
        <v>11</v>
      </c>
      <c r="B73" s="32" t="s">
        <v>337</v>
      </c>
      <c r="C73" s="57"/>
      <c r="D73" s="40" t="s">
        <v>338</v>
      </c>
      <c r="E73" s="40" t="s">
        <v>249</v>
      </c>
    </row>
    <row r="74" spans="1:5" ht="31.5">
      <c r="A74" s="64">
        <v>12</v>
      </c>
      <c r="B74" s="32" t="s">
        <v>339</v>
      </c>
      <c r="C74" s="57"/>
      <c r="D74" s="40"/>
      <c r="E74" s="40"/>
    </row>
    <row r="75" spans="1:5">
      <c r="A75" s="64"/>
      <c r="B75" s="66" t="s">
        <v>332</v>
      </c>
      <c r="C75" s="57"/>
      <c r="D75" s="40">
        <v>1.4</v>
      </c>
      <c r="E75" s="40" t="s">
        <v>340</v>
      </c>
    </row>
    <row r="76" spans="1:5">
      <c r="A76" s="64">
        <v>13</v>
      </c>
      <c r="B76" s="32" t="s">
        <v>341</v>
      </c>
      <c r="C76" s="57"/>
      <c r="D76" s="40"/>
      <c r="E76" s="40"/>
    </row>
    <row r="77" spans="1:5">
      <c r="A77" s="64"/>
      <c r="B77" s="66" t="s">
        <v>332</v>
      </c>
      <c r="C77" s="57"/>
      <c r="D77" s="40" t="s">
        <v>242</v>
      </c>
      <c r="E77" s="40">
        <v>523</v>
      </c>
    </row>
    <row r="78" spans="1:5">
      <c r="A78" s="64">
        <v>14</v>
      </c>
      <c r="B78" s="32" t="s">
        <v>342</v>
      </c>
      <c r="C78" s="57"/>
      <c r="D78" s="40"/>
      <c r="E78" s="40"/>
    </row>
    <row r="79" spans="1:5">
      <c r="A79" s="64"/>
      <c r="B79" s="32" t="s">
        <v>343</v>
      </c>
      <c r="C79" s="64" t="s">
        <v>344</v>
      </c>
      <c r="D79" s="40">
        <v>70</v>
      </c>
      <c r="E79" s="40" t="s">
        <v>249</v>
      </c>
    </row>
    <row r="80" spans="1:5" ht="31.5">
      <c r="A80" s="64"/>
      <c r="B80" s="32" t="s">
        <v>345</v>
      </c>
      <c r="C80" s="64" t="s">
        <v>344</v>
      </c>
      <c r="D80" s="40">
        <v>140</v>
      </c>
      <c r="E80" s="40" t="s">
        <v>249</v>
      </c>
    </row>
    <row r="81" spans="1:5" ht="31.5">
      <c r="A81" s="64"/>
      <c r="B81" s="32" t="s">
        <v>346</v>
      </c>
      <c r="C81" s="64" t="s">
        <v>344</v>
      </c>
      <c r="D81" s="40">
        <v>160</v>
      </c>
      <c r="E81" s="40" t="s">
        <v>249</v>
      </c>
    </row>
    <row r="82" spans="1:5" ht="31.5">
      <c r="A82" s="64">
        <v>15</v>
      </c>
      <c r="B82" s="32" t="s">
        <v>347</v>
      </c>
      <c r="C82" s="57"/>
      <c r="D82" s="40" t="s">
        <v>348</v>
      </c>
      <c r="E82" s="40" t="s">
        <v>249</v>
      </c>
    </row>
    <row r="83" spans="1:5" ht="31.5">
      <c r="A83" s="64">
        <v>16</v>
      </c>
      <c r="B83" s="32" t="s">
        <v>349</v>
      </c>
      <c r="C83" s="57"/>
      <c r="D83" s="40" t="s">
        <v>350</v>
      </c>
      <c r="E83" s="40" t="s">
        <v>249</v>
      </c>
    </row>
    <row r="84" spans="1:5">
      <c r="A84" s="64">
        <v>17</v>
      </c>
      <c r="B84" s="32" t="s">
        <v>351</v>
      </c>
      <c r="C84" s="57"/>
      <c r="D84" s="40">
        <v>45</v>
      </c>
      <c r="E84" s="40" t="s">
        <v>249</v>
      </c>
    </row>
    <row r="85" spans="1:5">
      <c r="A85" s="64">
        <v>18</v>
      </c>
      <c r="B85" s="32" t="s">
        <v>352</v>
      </c>
      <c r="C85" s="57"/>
      <c r="D85" s="40">
        <v>90</v>
      </c>
      <c r="E85" s="40" t="s">
        <v>249</v>
      </c>
    </row>
    <row r="86" spans="1:5" ht="16.5">
      <c r="A86" s="64">
        <v>19</v>
      </c>
      <c r="B86" s="32" t="s">
        <v>353</v>
      </c>
      <c r="C86" s="57"/>
      <c r="D86" s="40" t="s">
        <v>242</v>
      </c>
      <c r="E86" s="67" t="s">
        <v>354</v>
      </c>
    </row>
    <row r="87" spans="1:5" ht="132">
      <c r="A87" s="64">
        <v>20</v>
      </c>
      <c r="B87" s="32" t="s">
        <v>355</v>
      </c>
      <c r="C87" s="57"/>
      <c r="D87" s="40" t="s">
        <v>356</v>
      </c>
      <c r="E87" s="60" t="s">
        <v>357</v>
      </c>
    </row>
    <row r="88" spans="1:5" ht="31.5">
      <c r="A88" s="64">
        <v>21</v>
      </c>
      <c r="B88" s="32" t="s">
        <v>271</v>
      </c>
      <c r="C88" s="57"/>
      <c r="D88" s="40" t="s">
        <v>358</v>
      </c>
      <c r="E88" s="40" t="s">
        <v>249</v>
      </c>
    </row>
    <row r="89" spans="1:5">
      <c r="A89" s="64">
        <v>22</v>
      </c>
      <c r="B89" s="32" t="s">
        <v>359</v>
      </c>
      <c r="C89" s="57"/>
      <c r="D89" s="40"/>
      <c r="E89" s="40"/>
    </row>
    <row r="90" spans="1:5" ht="31.5">
      <c r="A90" s="64">
        <v>22.1</v>
      </c>
      <c r="B90" s="32" t="s">
        <v>360</v>
      </c>
      <c r="C90" s="57"/>
      <c r="D90" s="40" t="s">
        <v>361</v>
      </c>
      <c r="E90" s="40" t="s">
        <v>249</v>
      </c>
    </row>
    <row r="91" spans="1:5" ht="31.5">
      <c r="A91" s="64">
        <v>22.2</v>
      </c>
      <c r="B91" s="32" t="s">
        <v>362</v>
      </c>
      <c r="C91" s="57"/>
      <c r="D91" s="40" t="s">
        <v>363</v>
      </c>
      <c r="E91" s="40" t="s">
        <v>249</v>
      </c>
    </row>
    <row r="92" spans="1:5" ht="31.5">
      <c r="A92" s="64">
        <v>22.3</v>
      </c>
      <c r="B92" s="32" t="s">
        <v>275</v>
      </c>
      <c r="C92" s="57"/>
      <c r="D92" s="40" t="s">
        <v>364</v>
      </c>
      <c r="E92" s="40" t="s">
        <v>249</v>
      </c>
    </row>
    <row r="93" spans="1:5" ht="31.5">
      <c r="A93" s="64">
        <v>23</v>
      </c>
      <c r="B93" s="32" t="s">
        <v>244</v>
      </c>
      <c r="C93" s="57"/>
      <c r="D93" s="40" t="s">
        <v>365</v>
      </c>
      <c r="E93" s="40" t="s">
        <v>249</v>
      </c>
    </row>
    <row r="94" spans="1:5">
      <c r="A94" s="57" t="s">
        <v>216</v>
      </c>
      <c r="B94" s="130" t="s">
        <v>366</v>
      </c>
      <c r="C94" s="130"/>
      <c r="D94" s="40"/>
      <c r="E94" s="40"/>
    </row>
    <row r="95" spans="1:5" ht="49.5">
      <c r="A95" s="42">
        <v>1</v>
      </c>
      <c r="B95" s="68" t="s">
        <v>241</v>
      </c>
      <c r="C95" s="42"/>
      <c r="D95" s="42" t="s">
        <v>242</v>
      </c>
      <c r="E95" s="60" t="s">
        <v>264</v>
      </c>
    </row>
    <row r="96" spans="1:5" ht="16.5">
      <c r="A96" s="42">
        <v>2</v>
      </c>
      <c r="B96" s="68" t="s">
        <v>243</v>
      </c>
      <c r="C96" s="42"/>
      <c r="D96" s="42" t="s">
        <v>242</v>
      </c>
      <c r="E96" s="60" t="s">
        <v>221</v>
      </c>
    </row>
    <row r="97" spans="1:5" ht="16.5">
      <c r="A97" s="42">
        <v>3</v>
      </c>
      <c r="B97" s="68" t="s">
        <v>322</v>
      </c>
      <c r="C97" s="42"/>
      <c r="D97" s="42" t="s">
        <v>242</v>
      </c>
      <c r="E97" s="60" t="s">
        <v>367</v>
      </c>
    </row>
    <row r="98" spans="1:5" ht="49.5">
      <c r="A98" s="42">
        <v>4</v>
      </c>
      <c r="B98" s="68" t="s">
        <v>245</v>
      </c>
      <c r="C98" s="42"/>
      <c r="D98" s="42" t="s">
        <v>368</v>
      </c>
      <c r="E98" s="40" t="s">
        <v>249</v>
      </c>
    </row>
    <row r="99" spans="1:5" ht="16.5">
      <c r="A99" s="42">
        <v>5</v>
      </c>
      <c r="B99" s="68" t="s">
        <v>246</v>
      </c>
      <c r="C99" s="42"/>
      <c r="D99" s="42"/>
      <c r="E99" s="40"/>
    </row>
    <row r="100" spans="1:5" ht="82.5">
      <c r="A100" s="42"/>
      <c r="B100" s="68" t="s">
        <v>247</v>
      </c>
      <c r="C100" s="42"/>
      <c r="D100" s="42" t="s">
        <v>248</v>
      </c>
      <c r="E100" s="40" t="s">
        <v>249</v>
      </c>
    </row>
    <row r="101" spans="1:5" ht="82.5">
      <c r="A101" s="42"/>
      <c r="B101" s="68" t="s">
        <v>250</v>
      </c>
      <c r="C101" s="42"/>
      <c r="D101" s="42" t="s">
        <v>251</v>
      </c>
      <c r="E101" s="40" t="s">
        <v>249</v>
      </c>
    </row>
    <row r="102" spans="1:5" ht="165">
      <c r="A102" s="42"/>
      <c r="B102" s="68" t="s">
        <v>252</v>
      </c>
      <c r="C102" s="42"/>
      <c r="D102" s="42" t="s">
        <v>369</v>
      </c>
      <c r="E102" s="40" t="s">
        <v>249</v>
      </c>
    </row>
    <row r="103" spans="1:5" ht="16.5">
      <c r="A103" s="42">
        <v>6</v>
      </c>
      <c r="B103" s="68" t="s">
        <v>253</v>
      </c>
      <c r="C103" s="57"/>
      <c r="D103" s="40"/>
      <c r="E103" s="40"/>
    </row>
    <row r="104" spans="1:5" ht="16.5">
      <c r="A104" s="42"/>
      <c r="B104" s="69" t="s">
        <v>370</v>
      </c>
      <c r="C104" s="42"/>
      <c r="D104" s="40">
        <v>120</v>
      </c>
      <c r="E104" s="40" t="s">
        <v>249</v>
      </c>
    </row>
    <row r="105" spans="1:5" ht="16.5">
      <c r="A105" s="70">
        <v>7</v>
      </c>
      <c r="B105" s="71" t="s">
        <v>371</v>
      </c>
      <c r="C105" s="57"/>
      <c r="D105" s="40"/>
      <c r="E105" s="40"/>
    </row>
    <row r="106" spans="1:5" ht="16.5">
      <c r="A106" s="42"/>
      <c r="B106" s="68" t="s">
        <v>370</v>
      </c>
      <c r="C106" s="72"/>
      <c r="D106" s="40" t="s">
        <v>372</v>
      </c>
      <c r="E106" s="40" t="s">
        <v>249</v>
      </c>
    </row>
    <row r="107" spans="1:5" ht="16.5">
      <c r="A107" s="70">
        <v>8</v>
      </c>
      <c r="B107" s="66" t="s">
        <v>373</v>
      </c>
      <c r="C107" s="72"/>
      <c r="D107" s="73"/>
      <c r="E107" s="40"/>
    </row>
    <row r="108" spans="1:5" ht="31.5">
      <c r="A108" s="70">
        <v>8.1</v>
      </c>
      <c r="B108" s="32" t="s">
        <v>374</v>
      </c>
      <c r="C108" s="64" t="s">
        <v>270</v>
      </c>
      <c r="D108" s="73"/>
      <c r="E108" s="40"/>
    </row>
    <row r="109" spans="1:5" ht="16.5">
      <c r="A109" s="70"/>
      <c r="B109" s="32" t="s">
        <v>375</v>
      </c>
      <c r="C109" s="42"/>
      <c r="D109" s="40" t="s">
        <v>376</v>
      </c>
      <c r="E109" s="40" t="s">
        <v>249</v>
      </c>
    </row>
    <row r="110" spans="1:5" ht="16.5">
      <c r="A110" s="70"/>
      <c r="B110" s="32" t="s">
        <v>377</v>
      </c>
      <c r="C110" s="64"/>
      <c r="D110" s="40" t="s">
        <v>378</v>
      </c>
      <c r="E110" s="40" t="s">
        <v>249</v>
      </c>
    </row>
    <row r="111" spans="1:5" ht="31.5">
      <c r="A111" s="70">
        <v>8.1999999999999993</v>
      </c>
      <c r="B111" s="32" t="s">
        <v>379</v>
      </c>
      <c r="C111" s="64" t="s">
        <v>380</v>
      </c>
      <c r="D111" s="73"/>
      <c r="E111" s="40"/>
    </row>
    <row r="112" spans="1:5">
      <c r="A112" s="64"/>
      <c r="B112" s="32" t="s">
        <v>375</v>
      </c>
      <c r="C112" s="64"/>
      <c r="D112" s="40">
        <v>400</v>
      </c>
      <c r="E112" s="40" t="s">
        <v>249</v>
      </c>
    </row>
    <row r="113" spans="1:5">
      <c r="A113" s="64"/>
      <c r="B113" s="32" t="s">
        <v>377</v>
      </c>
      <c r="C113" s="64"/>
      <c r="D113" s="40">
        <v>380</v>
      </c>
      <c r="E113" s="40" t="s">
        <v>249</v>
      </c>
    </row>
    <row r="114" spans="1:5" ht="31.5">
      <c r="A114" s="64">
        <v>8.3000000000000007</v>
      </c>
      <c r="B114" s="32" t="s">
        <v>381</v>
      </c>
      <c r="C114" s="64" t="s">
        <v>11</v>
      </c>
      <c r="D114" s="40"/>
      <c r="E114" s="40"/>
    </row>
    <row r="115" spans="1:5">
      <c r="A115" s="64"/>
      <c r="B115" s="32" t="s">
        <v>375</v>
      </c>
      <c r="C115" s="64"/>
      <c r="D115" s="40">
        <v>1</v>
      </c>
      <c r="E115" s="40" t="s">
        <v>249</v>
      </c>
    </row>
    <row r="116" spans="1:5">
      <c r="A116" s="64"/>
      <c r="B116" s="32" t="s">
        <v>377</v>
      </c>
      <c r="C116" s="64"/>
      <c r="D116" s="40" t="s">
        <v>382</v>
      </c>
      <c r="E116" s="40" t="s">
        <v>249</v>
      </c>
    </row>
    <row r="117" spans="1:5">
      <c r="A117" s="64">
        <v>9</v>
      </c>
      <c r="B117" s="32" t="s">
        <v>255</v>
      </c>
      <c r="C117" s="64" t="s">
        <v>383</v>
      </c>
      <c r="D117" s="40"/>
      <c r="E117" s="40"/>
    </row>
    <row r="118" spans="1:5">
      <c r="A118" s="64"/>
      <c r="B118" s="32" t="s">
        <v>370</v>
      </c>
      <c r="C118" s="64"/>
      <c r="D118" s="40" t="s">
        <v>384</v>
      </c>
      <c r="E118" s="40" t="s">
        <v>249</v>
      </c>
    </row>
    <row r="119" spans="1:5">
      <c r="A119" s="64">
        <v>10</v>
      </c>
      <c r="B119" s="32" t="s">
        <v>385</v>
      </c>
      <c r="C119" s="64" t="s">
        <v>386</v>
      </c>
      <c r="D119" s="40"/>
      <c r="E119" s="40"/>
    </row>
    <row r="120" spans="1:5">
      <c r="A120" s="64"/>
      <c r="B120" s="32" t="s">
        <v>370</v>
      </c>
      <c r="C120" s="64"/>
      <c r="D120" s="40" t="s">
        <v>242</v>
      </c>
      <c r="E120" s="40">
        <v>1058</v>
      </c>
    </row>
    <row r="121" spans="1:5">
      <c r="A121" s="64">
        <v>11</v>
      </c>
      <c r="B121" s="32" t="s">
        <v>256</v>
      </c>
      <c r="C121" s="64" t="s">
        <v>387</v>
      </c>
      <c r="D121" s="40"/>
      <c r="E121" s="40"/>
    </row>
    <row r="122" spans="1:5">
      <c r="A122" s="64"/>
      <c r="B122" s="32" t="s">
        <v>370</v>
      </c>
      <c r="C122" s="64" t="s">
        <v>254</v>
      </c>
      <c r="D122" s="40" t="s">
        <v>388</v>
      </c>
      <c r="E122" s="40" t="s">
        <v>249</v>
      </c>
    </row>
    <row r="123" spans="1:5" ht="47.25">
      <c r="A123" s="64">
        <v>12</v>
      </c>
      <c r="B123" s="32" t="s">
        <v>389</v>
      </c>
      <c r="C123" s="40" t="s">
        <v>390</v>
      </c>
      <c r="D123" s="40"/>
      <c r="E123" s="40"/>
    </row>
    <row r="124" spans="1:5">
      <c r="A124" s="64"/>
      <c r="B124" s="32" t="s">
        <v>370</v>
      </c>
      <c r="C124" s="64" t="s">
        <v>254</v>
      </c>
      <c r="D124" s="40" t="s">
        <v>391</v>
      </c>
      <c r="E124" s="40" t="s">
        <v>249</v>
      </c>
    </row>
    <row r="125" spans="1:5" ht="47.25">
      <c r="A125" s="64">
        <v>13</v>
      </c>
      <c r="B125" s="32" t="s">
        <v>392</v>
      </c>
      <c r="C125" s="64"/>
      <c r="D125" s="40" t="s">
        <v>393</v>
      </c>
      <c r="E125" s="40" t="s">
        <v>249</v>
      </c>
    </row>
    <row r="126" spans="1:5">
      <c r="A126" s="64">
        <v>13.1</v>
      </c>
      <c r="B126" s="32" t="s">
        <v>394</v>
      </c>
      <c r="C126" s="64"/>
      <c r="D126" s="40"/>
      <c r="E126" s="40"/>
    </row>
    <row r="127" spans="1:5">
      <c r="A127" s="64"/>
      <c r="B127" s="32" t="s">
        <v>370</v>
      </c>
      <c r="C127" s="64"/>
      <c r="D127" s="40" t="s">
        <v>395</v>
      </c>
      <c r="E127" s="40" t="s">
        <v>249</v>
      </c>
    </row>
    <row r="128" spans="1:5">
      <c r="A128" s="64">
        <v>13.2</v>
      </c>
      <c r="B128" s="32" t="s">
        <v>396</v>
      </c>
      <c r="C128" s="64"/>
      <c r="D128" s="40"/>
      <c r="E128" s="40"/>
    </row>
    <row r="129" spans="1:5">
      <c r="A129" s="64"/>
      <c r="B129" s="32" t="s">
        <v>370</v>
      </c>
      <c r="C129" s="64"/>
      <c r="D129" s="40" t="s">
        <v>397</v>
      </c>
      <c r="E129" s="40" t="s">
        <v>249</v>
      </c>
    </row>
    <row r="130" spans="1:5">
      <c r="A130" s="64">
        <v>14</v>
      </c>
      <c r="B130" s="32" t="s">
        <v>257</v>
      </c>
      <c r="C130" s="64" t="s">
        <v>166</v>
      </c>
      <c r="D130" s="40"/>
      <c r="E130" s="40"/>
    </row>
    <row r="131" spans="1:5">
      <c r="A131" s="64"/>
      <c r="B131" s="32" t="s">
        <v>398</v>
      </c>
      <c r="C131" s="64"/>
      <c r="D131" s="40" t="s">
        <v>399</v>
      </c>
      <c r="E131" s="40" t="s">
        <v>249</v>
      </c>
    </row>
    <row r="132" spans="1:5">
      <c r="A132" s="64">
        <v>15</v>
      </c>
      <c r="B132" s="32" t="s">
        <v>271</v>
      </c>
      <c r="C132" s="64"/>
      <c r="D132" s="40"/>
      <c r="E132" s="40"/>
    </row>
    <row r="133" spans="1:5">
      <c r="A133" s="64">
        <v>15.1</v>
      </c>
      <c r="B133" s="32" t="s">
        <v>258</v>
      </c>
      <c r="C133" s="64"/>
      <c r="D133" s="40" t="s">
        <v>259</v>
      </c>
      <c r="E133" s="40" t="s">
        <v>249</v>
      </c>
    </row>
    <row r="134" spans="1:5" ht="126">
      <c r="A134" s="64">
        <v>15.2</v>
      </c>
      <c r="B134" s="32" t="s">
        <v>260</v>
      </c>
      <c r="C134" s="64"/>
      <c r="D134" s="32" t="s">
        <v>400</v>
      </c>
      <c r="E134" s="40" t="s">
        <v>249</v>
      </c>
    </row>
    <row r="135" spans="1:5" ht="31.5">
      <c r="A135" s="64">
        <v>15.3</v>
      </c>
      <c r="B135" s="32" t="s">
        <v>261</v>
      </c>
      <c r="C135" s="64"/>
      <c r="D135" s="40" t="s">
        <v>262</v>
      </c>
      <c r="E135" s="40" t="s">
        <v>249</v>
      </c>
    </row>
    <row r="136" spans="1:5">
      <c r="A136" s="64">
        <v>16</v>
      </c>
      <c r="B136" s="32" t="s">
        <v>359</v>
      </c>
      <c r="C136" s="64"/>
      <c r="D136" s="40"/>
      <c r="E136" s="40"/>
    </row>
    <row r="137" spans="1:5" ht="31.5">
      <c r="A137" s="64">
        <v>16.100000000000001</v>
      </c>
      <c r="B137" s="32" t="s">
        <v>360</v>
      </c>
      <c r="C137" s="64"/>
      <c r="D137" s="40" t="s">
        <v>361</v>
      </c>
      <c r="E137" s="40" t="s">
        <v>249</v>
      </c>
    </row>
    <row r="138" spans="1:5" ht="31.5">
      <c r="A138" s="64">
        <v>16.2</v>
      </c>
      <c r="B138" s="32" t="s">
        <v>362</v>
      </c>
      <c r="C138" s="64"/>
      <c r="D138" s="40" t="s">
        <v>363</v>
      </c>
      <c r="E138" s="40" t="s">
        <v>249</v>
      </c>
    </row>
    <row r="139" spans="1:5" ht="31.5">
      <c r="A139" s="64">
        <v>16.3</v>
      </c>
      <c r="B139" s="32" t="s">
        <v>275</v>
      </c>
      <c r="C139" s="64"/>
      <c r="D139" s="40" t="s">
        <v>364</v>
      </c>
      <c r="E139" s="40" t="s">
        <v>249</v>
      </c>
    </row>
    <row r="140" spans="1:5" ht="31.5">
      <c r="A140" s="64">
        <v>17</v>
      </c>
      <c r="B140" s="32" t="s">
        <v>244</v>
      </c>
      <c r="C140" s="64"/>
      <c r="D140" s="40" t="s">
        <v>365</v>
      </c>
      <c r="E140" s="40" t="s">
        <v>249</v>
      </c>
    </row>
    <row r="141" spans="1:5" ht="63">
      <c r="A141" s="64">
        <v>18</v>
      </c>
      <c r="B141" s="32" t="s">
        <v>401</v>
      </c>
      <c r="C141" s="64"/>
      <c r="D141" s="40" t="s">
        <v>402</v>
      </c>
      <c r="E141" s="40" t="s">
        <v>249</v>
      </c>
    </row>
    <row r="142" spans="1:5">
      <c r="A142" s="74" t="s">
        <v>217</v>
      </c>
      <c r="B142" s="132" t="s">
        <v>403</v>
      </c>
      <c r="C142" s="133"/>
      <c r="D142" s="134"/>
      <c r="E142" s="40"/>
    </row>
    <row r="143" spans="1:5" ht="16.5">
      <c r="A143" s="40">
        <v>1</v>
      </c>
      <c r="B143" s="32" t="s">
        <v>404</v>
      </c>
      <c r="C143" s="75"/>
      <c r="D143" s="40" t="s">
        <v>405</v>
      </c>
      <c r="E143" s="60" t="s">
        <v>406</v>
      </c>
    </row>
    <row r="144" spans="1:5" ht="16.5">
      <c r="A144" s="40">
        <v>2</v>
      </c>
      <c r="B144" s="32" t="s">
        <v>241</v>
      </c>
      <c r="C144" s="75"/>
      <c r="D144" s="40" t="s">
        <v>405</v>
      </c>
      <c r="E144" s="60" t="s">
        <v>407</v>
      </c>
    </row>
    <row r="145" spans="1:5" ht="16.5">
      <c r="A145" s="40">
        <v>3</v>
      </c>
      <c r="B145" s="32" t="s">
        <v>243</v>
      </c>
      <c r="C145" s="75"/>
      <c r="D145" s="40" t="s">
        <v>405</v>
      </c>
      <c r="E145" s="60" t="s">
        <v>408</v>
      </c>
    </row>
    <row r="146" spans="1:5" ht="16.5">
      <c r="A146" s="40">
        <v>4</v>
      </c>
      <c r="B146" s="32" t="s">
        <v>409</v>
      </c>
      <c r="C146" s="75"/>
      <c r="D146" s="40" t="s">
        <v>410</v>
      </c>
      <c r="E146" s="60" t="s">
        <v>249</v>
      </c>
    </row>
    <row r="147" spans="1:5" ht="16.5">
      <c r="A147" s="40">
        <v>5</v>
      </c>
      <c r="B147" s="32" t="s">
        <v>411</v>
      </c>
      <c r="C147" s="75"/>
      <c r="D147" s="40" t="s">
        <v>412</v>
      </c>
      <c r="E147" s="60" t="s">
        <v>249</v>
      </c>
    </row>
    <row r="148" spans="1:5" ht="31.5">
      <c r="A148" s="40">
        <v>6</v>
      </c>
      <c r="B148" s="32" t="s">
        <v>413</v>
      </c>
      <c r="C148" s="75"/>
      <c r="D148" s="40" t="s">
        <v>414</v>
      </c>
      <c r="E148" s="60" t="s">
        <v>249</v>
      </c>
    </row>
    <row r="149" spans="1:5" ht="16.5">
      <c r="A149" s="40">
        <v>7</v>
      </c>
      <c r="B149" s="32" t="s">
        <v>415</v>
      </c>
      <c r="C149" s="75"/>
      <c r="D149" s="40" t="s">
        <v>416</v>
      </c>
      <c r="E149" s="60" t="s">
        <v>249</v>
      </c>
    </row>
    <row r="150" spans="1:5" ht="31.5">
      <c r="A150" s="40">
        <v>8</v>
      </c>
      <c r="B150" s="32" t="s">
        <v>244</v>
      </c>
      <c r="C150" s="75"/>
      <c r="D150" s="40" t="s">
        <v>417</v>
      </c>
      <c r="E150" s="60" t="s">
        <v>249</v>
      </c>
    </row>
    <row r="151" spans="1:5" ht="16.5">
      <c r="A151" s="40">
        <v>9</v>
      </c>
      <c r="B151" s="32" t="s">
        <v>418</v>
      </c>
      <c r="C151" s="75"/>
      <c r="D151" s="40" t="s">
        <v>419</v>
      </c>
      <c r="E151" s="60" t="s">
        <v>249</v>
      </c>
    </row>
    <row r="152" spans="1:5" ht="31.5">
      <c r="A152" s="40">
        <v>10</v>
      </c>
      <c r="B152" s="32" t="s">
        <v>420</v>
      </c>
      <c r="C152" s="75"/>
      <c r="D152" s="40" t="s">
        <v>421</v>
      </c>
      <c r="E152" s="60" t="s">
        <v>249</v>
      </c>
    </row>
    <row r="153" spans="1:5" ht="47.25">
      <c r="A153" s="40">
        <v>11</v>
      </c>
      <c r="B153" s="32" t="s">
        <v>422</v>
      </c>
      <c r="C153" s="75"/>
      <c r="D153" s="40" t="s">
        <v>423</v>
      </c>
      <c r="E153" s="60" t="s">
        <v>424</v>
      </c>
    </row>
    <row r="154" spans="1:5" ht="16.5">
      <c r="A154" s="40">
        <v>12</v>
      </c>
      <c r="B154" s="32" t="s">
        <v>425</v>
      </c>
      <c r="C154" s="75"/>
      <c r="D154" s="40" t="s">
        <v>426</v>
      </c>
      <c r="E154" s="60" t="s">
        <v>249</v>
      </c>
    </row>
    <row r="155" spans="1:5" ht="16.5">
      <c r="A155" s="40">
        <v>13</v>
      </c>
      <c r="B155" s="32" t="s">
        <v>427</v>
      </c>
      <c r="C155" s="75"/>
      <c r="D155" s="40" t="s">
        <v>428</v>
      </c>
      <c r="E155" s="60" t="s">
        <v>249</v>
      </c>
    </row>
    <row r="156" spans="1:5" ht="16.5">
      <c r="A156" s="40">
        <v>14</v>
      </c>
      <c r="B156" s="32" t="s">
        <v>429</v>
      </c>
      <c r="C156" s="75"/>
      <c r="D156" s="40" t="s">
        <v>430</v>
      </c>
      <c r="E156" s="60" t="s">
        <v>249</v>
      </c>
    </row>
    <row r="157" spans="1:5" ht="31.5">
      <c r="A157" s="40">
        <v>15</v>
      </c>
      <c r="B157" s="32" t="s">
        <v>431</v>
      </c>
      <c r="C157" s="76"/>
      <c r="D157" s="62" t="s">
        <v>430</v>
      </c>
      <c r="E157" s="60" t="s">
        <v>249</v>
      </c>
    </row>
    <row r="158" spans="1:5" ht="31.5">
      <c r="A158" s="40">
        <v>16</v>
      </c>
      <c r="B158" s="32" t="s">
        <v>432</v>
      </c>
      <c r="C158" s="76"/>
      <c r="D158" s="40" t="s">
        <v>433</v>
      </c>
      <c r="E158" s="60" t="s">
        <v>249</v>
      </c>
    </row>
    <row r="159" spans="1:5" ht="16.5">
      <c r="A159" s="77" t="s">
        <v>434</v>
      </c>
      <c r="B159" s="78" t="s">
        <v>435</v>
      </c>
      <c r="C159" s="76"/>
      <c r="D159" s="61"/>
      <c r="E159" s="60"/>
    </row>
    <row r="160" spans="1:5" ht="16.5">
      <c r="A160" s="40">
        <v>1</v>
      </c>
      <c r="B160" s="32" t="s">
        <v>241</v>
      </c>
      <c r="C160" s="75"/>
      <c r="D160" s="40" t="s">
        <v>242</v>
      </c>
      <c r="E160" s="42" t="s">
        <v>228</v>
      </c>
    </row>
    <row r="161" spans="1:5" ht="16.5">
      <c r="A161" s="40">
        <v>2</v>
      </c>
      <c r="B161" s="32" t="s">
        <v>243</v>
      </c>
      <c r="C161" s="75"/>
      <c r="D161" s="40" t="s">
        <v>242</v>
      </c>
      <c r="E161" s="42" t="s">
        <v>221</v>
      </c>
    </row>
    <row r="162" spans="1:5" ht="16.5">
      <c r="A162" s="40">
        <v>3</v>
      </c>
      <c r="B162" s="32" t="s">
        <v>4</v>
      </c>
      <c r="C162" s="75"/>
      <c r="D162" s="40" t="s">
        <v>242</v>
      </c>
      <c r="E162" s="42" t="s">
        <v>229</v>
      </c>
    </row>
    <row r="163" spans="1:5" ht="18.75">
      <c r="A163" s="40">
        <v>4</v>
      </c>
      <c r="B163" s="32" t="s">
        <v>436</v>
      </c>
      <c r="C163" s="75"/>
      <c r="D163" s="40" t="s">
        <v>437</v>
      </c>
      <c r="E163" s="42" t="s">
        <v>249</v>
      </c>
    </row>
    <row r="164" spans="1:5" ht="16.5">
      <c r="A164" s="40">
        <v>5</v>
      </c>
      <c r="B164" s="32" t="s">
        <v>438</v>
      </c>
      <c r="C164" s="75"/>
      <c r="D164" s="40" t="s">
        <v>439</v>
      </c>
      <c r="E164" s="42" t="s">
        <v>249</v>
      </c>
    </row>
    <row r="165" spans="1:5" ht="16.5">
      <c r="A165" s="40">
        <v>6</v>
      </c>
      <c r="B165" s="32" t="s">
        <v>440</v>
      </c>
      <c r="C165" s="75"/>
      <c r="D165" s="40" t="s">
        <v>441</v>
      </c>
      <c r="E165" s="42" t="s">
        <v>249</v>
      </c>
    </row>
    <row r="166" spans="1:5" ht="16.5">
      <c r="A166" s="40">
        <v>7</v>
      </c>
      <c r="B166" s="32" t="s">
        <v>245</v>
      </c>
      <c r="C166" s="75"/>
      <c r="D166" s="40" t="s">
        <v>442</v>
      </c>
      <c r="E166" s="42" t="s">
        <v>249</v>
      </c>
    </row>
    <row r="167" spans="1:5">
      <c r="A167" s="79" t="s">
        <v>443</v>
      </c>
      <c r="B167" s="78" t="s">
        <v>444</v>
      </c>
      <c r="C167" s="76"/>
      <c r="D167" s="80"/>
      <c r="E167" s="40"/>
    </row>
    <row r="168" spans="1:5" ht="16.5">
      <c r="A168" s="40">
        <v>1</v>
      </c>
      <c r="B168" s="32" t="s">
        <v>241</v>
      </c>
      <c r="C168" s="75"/>
      <c r="D168" s="40" t="s">
        <v>242</v>
      </c>
      <c r="E168" s="42" t="s">
        <v>228</v>
      </c>
    </row>
    <row r="169" spans="1:5" ht="16.5">
      <c r="A169" s="40">
        <v>2</v>
      </c>
      <c r="B169" s="32" t="s">
        <v>243</v>
      </c>
      <c r="C169" s="75"/>
      <c r="D169" s="40" t="s">
        <v>242</v>
      </c>
      <c r="E169" s="42" t="s">
        <v>221</v>
      </c>
    </row>
    <row r="170" spans="1:5" ht="16.5">
      <c r="A170" s="40">
        <v>3</v>
      </c>
      <c r="B170" s="32" t="s">
        <v>4</v>
      </c>
      <c r="C170" s="75"/>
      <c r="D170" s="40" t="s">
        <v>242</v>
      </c>
      <c r="E170" s="42" t="s">
        <v>230</v>
      </c>
    </row>
    <row r="171" spans="1:5" ht="18.75">
      <c r="A171" s="40">
        <v>4</v>
      </c>
      <c r="B171" s="32" t="s">
        <v>436</v>
      </c>
      <c r="C171" s="75"/>
      <c r="D171" s="40" t="s">
        <v>437</v>
      </c>
      <c r="E171" s="42" t="s">
        <v>249</v>
      </c>
    </row>
    <row r="172" spans="1:5" ht="16.5">
      <c r="A172" s="40">
        <v>5</v>
      </c>
      <c r="B172" s="32" t="s">
        <v>438</v>
      </c>
      <c r="C172" s="75"/>
      <c r="D172" s="40" t="s">
        <v>439</v>
      </c>
      <c r="E172" s="42" t="s">
        <v>249</v>
      </c>
    </row>
    <row r="173" spans="1:5" ht="16.5">
      <c r="A173" s="40">
        <v>6</v>
      </c>
      <c r="B173" s="32" t="s">
        <v>440</v>
      </c>
      <c r="C173" s="75"/>
      <c r="D173" s="40" t="s">
        <v>445</v>
      </c>
      <c r="E173" s="42" t="s">
        <v>249</v>
      </c>
    </row>
    <row r="174" spans="1:5" ht="16.5">
      <c r="A174" s="40">
        <v>7</v>
      </c>
      <c r="B174" s="32" t="s">
        <v>245</v>
      </c>
      <c r="C174" s="75"/>
      <c r="D174" s="40" t="s">
        <v>442</v>
      </c>
      <c r="E174" s="42" t="s">
        <v>249</v>
      </c>
    </row>
    <row r="175" spans="1:5">
      <c r="A175" s="79" t="s">
        <v>446</v>
      </c>
      <c r="B175" s="78" t="s">
        <v>447</v>
      </c>
      <c r="C175" s="76"/>
      <c r="D175" s="80"/>
      <c r="E175" s="40"/>
    </row>
    <row r="176" spans="1:5" ht="16.5">
      <c r="A176" s="40">
        <v>1</v>
      </c>
      <c r="B176" s="32" t="s">
        <v>241</v>
      </c>
      <c r="C176" s="75"/>
      <c r="D176" s="40" t="s">
        <v>242</v>
      </c>
      <c r="E176" s="42" t="s">
        <v>228</v>
      </c>
    </row>
    <row r="177" spans="1:5" ht="16.5">
      <c r="A177" s="40">
        <v>2</v>
      </c>
      <c r="B177" s="32" t="s">
        <v>243</v>
      </c>
      <c r="C177" s="75"/>
      <c r="D177" s="40" t="s">
        <v>242</v>
      </c>
      <c r="E177" s="42" t="s">
        <v>221</v>
      </c>
    </row>
    <row r="178" spans="1:5" ht="16.5">
      <c r="A178" s="40">
        <v>3</v>
      </c>
      <c r="B178" s="32" t="s">
        <v>4</v>
      </c>
      <c r="C178" s="75"/>
      <c r="D178" s="40" t="s">
        <v>242</v>
      </c>
      <c r="E178" s="42" t="s">
        <v>231</v>
      </c>
    </row>
    <row r="179" spans="1:5" ht="16.5">
      <c r="A179" s="40">
        <v>4</v>
      </c>
      <c r="B179" s="32" t="s">
        <v>448</v>
      </c>
      <c r="C179" s="75"/>
      <c r="D179" s="40" t="s">
        <v>449</v>
      </c>
      <c r="E179" s="42" t="s">
        <v>249</v>
      </c>
    </row>
    <row r="180" spans="1:5" ht="16.5">
      <c r="A180" s="40">
        <v>5</v>
      </c>
      <c r="B180" s="32" t="s">
        <v>438</v>
      </c>
      <c r="C180" s="75"/>
      <c r="D180" s="40" t="s">
        <v>439</v>
      </c>
      <c r="E180" s="42" t="s">
        <v>249</v>
      </c>
    </row>
    <row r="181" spans="1:5" ht="16.5">
      <c r="A181" s="40">
        <v>6</v>
      </c>
      <c r="B181" s="32" t="s">
        <v>440</v>
      </c>
      <c r="C181" s="75"/>
      <c r="D181" s="40" t="s">
        <v>450</v>
      </c>
      <c r="E181" s="42" t="s">
        <v>249</v>
      </c>
    </row>
    <row r="182" spans="1:5" ht="16.5">
      <c r="A182" s="40">
        <v>7</v>
      </c>
      <c r="B182" s="32" t="s">
        <v>245</v>
      </c>
      <c r="C182" s="75"/>
      <c r="D182" s="40" t="s">
        <v>442</v>
      </c>
      <c r="E182" s="42" t="s">
        <v>249</v>
      </c>
    </row>
    <row r="183" spans="1:5">
      <c r="A183" s="81" t="s">
        <v>451</v>
      </c>
      <c r="B183" s="135" t="s">
        <v>452</v>
      </c>
      <c r="C183" s="136"/>
      <c r="D183" s="40"/>
      <c r="E183" s="40"/>
    </row>
    <row r="184" spans="1:5">
      <c r="A184" s="40">
        <v>1</v>
      </c>
      <c r="B184" s="32" t="s">
        <v>453</v>
      </c>
      <c r="C184" s="64"/>
      <c r="D184" s="65" t="s">
        <v>242</v>
      </c>
      <c r="E184" s="40" t="s">
        <v>407</v>
      </c>
    </row>
    <row r="185" spans="1:5">
      <c r="A185" s="40">
        <v>2</v>
      </c>
      <c r="B185" s="32" t="s">
        <v>243</v>
      </c>
      <c r="C185" s="64"/>
      <c r="D185" s="65" t="s">
        <v>242</v>
      </c>
      <c r="E185" s="40" t="s">
        <v>454</v>
      </c>
    </row>
    <row r="186" spans="1:5" s="116" customFormat="1">
      <c r="A186" s="40">
        <v>3</v>
      </c>
      <c r="B186" s="32" t="s">
        <v>4</v>
      </c>
      <c r="C186" s="64"/>
      <c r="D186" s="65" t="s">
        <v>242</v>
      </c>
      <c r="E186" s="40" t="s">
        <v>232</v>
      </c>
    </row>
    <row r="187" spans="1:5">
      <c r="A187" s="40">
        <v>4</v>
      </c>
      <c r="B187" s="32" t="s">
        <v>455</v>
      </c>
      <c r="C187" s="64"/>
      <c r="D187" s="65" t="s">
        <v>456</v>
      </c>
      <c r="E187" s="40" t="s">
        <v>249</v>
      </c>
    </row>
    <row r="188" spans="1:5" ht="19.5">
      <c r="A188" s="40">
        <v>5</v>
      </c>
      <c r="B188" s="32" t="s">
        <v>457</v>
      </c>
      <c r="C188" s="64"/>
      <c r="D188" s="65" t="s">
        <v>458</v>
      </c>
      <c r="E188" s="40" t="s">
        <v>249</v>
      </c>
    </row>
    <row r="189" spans="1:5">
      <c r="A189" s="40">
        <v>6</v>
      </c>
      <c r="B189" s="32" t="s">
        <v>459</v>
      </c>
      <c r="C189" s="64"/>
      <c r="D189" s="65" t="s">
        <v>460</v>
      </c>
      <c r="E189" s="40" t="s">
        <v>249</v>
      </c>
    </row>
    <row r="190" spans="1:5">
      <c r="A190" s="40">
        <v>7</v>
      </c>
      <c r="B190" s="32" t="s">
        <v>461</v>
      </c>
      <c r="C190" s="64"/>
      <c r="D190" s="65" t="s">
        <v>462</v>
      </c>
      <c r="E190" s="40" t="s">
        <v>249</v>
      </c>
    </row>
    <row r="191" spans="1:5" ht="19.5">
      <c r="A191" s="40">
        <v>8</v>
      </c>
      <c r="B191" s="32" t="s">
        <v>463</v>
      </c>
      <c r="C191" s="64"/>
      <c r="D191" s="65" t="s">
        <v>464</v>
      </c>
      <c r="E191" s="40" t="s">
        <v>249</v>
      </c>
    </row>
    <row r="192" spans="1:5">
      <c r="A192" s="40">
        <v>9</v>
      </c>
      <c r="B192" s="32" t="s">
        <v>465</v>
      </c>
      <c r="C192" s="64"/>
      <c r="D192" s="65" t="s">
        <v>466</v>
      </c>
      <c r="E192" s="40" t="s">
        <v>249</v>
      </c>
    </row>
    <row r="193" spans="1:5">
      <c r="A193" s="40">
        <v>10</v>
      </c>
      <c r="B193" s="32" t="s">
        <v>467</v>
      </c>
      <c r="C193" s="64"/>
      <c r="D193" s="65" t="s">
        <v>468</v>
      </c>
      <c r="E193" s="40" t="s">
        <v>249</v>
      </c>
    </row>
    <row r="194" spans="1:5">
      <c r="A194" s="40">
        <v>11</v>
      </c>
      <c r="B194" s="32" t="s">
        <v>469</v>
      </c>
      <c r="C194" s="64"/>
      <c r="D194" s="65" t="s">
        <v>470</v>
      </c>
      <c r="E194" s="40" t="s">
        <v>249</v>
      </c>
    </row>
    <row r="195" spans="1:5">
      <c r="A195" s="40">
        <v>12</v>
      </c>
      <c r="B195" s="32" t="s">
        <v>471</v>
      </c>
      <c r="C195" s="64"/>
      <c r="D195" s="65" t="s">
        <v>472</v>
      </c>
      <c r="E195" s="40" t="s">
        <v>249</v>
      </c>
    </row>
    <row r="196" spans="1:5">
      <c r="A196" s="40">
        <v>13</v>
      </c>
      <c r="B196" s="32" t="s">
        <v>473</v>
      </c>
      <c r="C196" s="64"/>
      <c r="D196" s="65" t="s">
        <v>474</v>
      </c>
      <c r="E196" s="40" t="s">
        <v>249</v>
      </c>
    </row>
    <row r="197" spans="1:5">
      <c r="A197" s="40">
        <v>14</v>
      </c>
      <c r="B197" s="32" t="s">
        <v>475</v>
      </c>
      <c r="C197" s="64"/>
      <c r="D197" s="65" t="s">
        <v>476</v>
      </c>
      <c r="E197" s="40" t="s">
        <v>249</v>
      </c>
    </row>
    <row r="198" spans="1:5">
      <c r="A198" s="58" t="s">
        <v>477</v>
      </c>
      <c r="B198" s="63" t="s">
        <v>478</v>
      </c>
      <c r="C198" s="40"/>
      <c r="D198" s="40"/>
      <c r="E198" s="73"/>
    </row>
    <row r="199" spans="1:5">
      <c r="A199" s="40">
        <v>1</v>
      </c>
      <c r="B199" s="32" t="s">
        <v>479</v>
      </c>
      <c r="C199" s="40"/>
      <c r="D199" s="40" t="s">
        <v>480</v>
      </c>
      <c r="E199" s="40" t="s">
        <v>481</v>
      </c>
    </row>
    <row r="200" spans="1:5">
      <c r="A200" s="40">
        <f>+A199+1</f>
        <v>2</v>
      </c>
      <c r="B200" s="32" t="s">
        <v>482</v>
      </c>
      <c r="C200" s="40"/>
      <c r="D200" s="40" t="s">
        <v>480</v>
      </c>
      <c r="E200" s="64" t="s">
        <v>221</v>
      </c>
    </row>
    <row r="201" spans="1:5">
      <c r="A201" s="40">
        <f t="shared" ref="A201:A206" si="0">+A200+1</f>
        <v>3</v>
      </c>
      <c r="B201" s="32" t="s">
        <v>483</v>
      </c>
      <c r="C201" s="40"/>
      <c r="D201" s="40" t="s">
        <v>480</v>
      </c>
      <c r="E201" s="64" t="s">
        <v>227</v>
      </c>
    </row>
    <row r="202" spans="1:5" ht="31.5">
      <c r="A202" s="40">
        <f t="shared" si="0"/>
        <v>4</v>
      </c>
      <c r="B202" s="32" t="s">
        <v>484</v>
      </c>
      <c r="C202" s="40"/>
      <c r="D202" s="40" t="s">
        <v>485</v>
      </c>
      <c r="E202" s="64" t="s">
        <v>249</v>
      </c>
    </row>
    <row r="203" spans="1:5">
      <c r="A203" s="40">
        <f t="shared" si="0"/>
        <v>5</v>
      </c>
      <c r="B203" s="32" t="s">
        <v>486</v>
      </c>
      <c r="C203" s="40"/>
      <c r="D203" s="40" t="s">
        <v>487</v>
      </c>
      <c r="E203" s="64" t="s">
        <v>249</v>
      </c>
    </row>
    <row r="204" spans="1:5" ht="18.75">
      <c r="A204" s="40">
        <f t="shared" si="0"/>
        <v>6</v>
      </c>
      <c r="B204" s="32" t="s">
        <v>488</v>
      </c>
      <c r="C204" s="40" t="s">
        <v>489</v>
      </c>
      <c r="D204" s="40" t="s">
        <v>490</v>
      </c>
      <c r="E204" s="64" t="s">
        <v>249</v>
      </c>
    </row>
    <row r="205" spans="1:5" ht="18.75">
      <c r="A205" s="40">
        <f t="shared" si="0"/>
        <v>7</v>
      </c>
      <c r="B205" s="32" t="s">
        <v>491</v>
      </c>
      <c r="C205" s="40" t="s">
        <v>492</v>
      </c>
      <c r="D205" s="64" t="s">
        <v>493</v>
      </c>
      <c r="E205" s="64" t="s">
        <v>249</v>
      </c>
    </row>
    <row r="206" spans="1:5">
      <c r="A206" s="40">
        <f t="shared" si="0"/>
        <v>8</v>
      </c>
      <c r="B206" s="32" t="s">
        <v>494</v>
      </c>
      <c r="C206" s="40" t="s">
        <v>495</v>
      </c>
      <c r="D206" s="64" t="s">
        <v>493</v>
      </c>
      <c r="E206" s="64" t="s">
        <v>249</v>
      </c>
    </row>
    <row r="207" spans="1:5">
      <c r="A207" s="58" t="s">
        <v>496</v>
      </c>
      <c r="B207" s="63" t="s">
        <v>497</v>
      </c>
      <c r="C207" s="58"/>
      <c r="D207" s="58"/>
      <c r="E207" s="64"/>
    </row>
    <row r="208" spans="1:5">
      <c r="A208" s="40">
        <v>1</v>
      </c>
      <c r="B208" s="32" t="s">
        <v>479</v>
      </c>
      <c r="C208" s="40"/>
      <c r="D208" s="40" t="s">
        <v>480</v>
      </c>
      <c r="E208" s="64" t="s">
        <v>481</v>
      </c>
    </row>
    <row r="209" spans="1:5">
      <c r="A209" s="40">
        <f>+A208+1</f>
        <v>2</v>
      </c>
      <c r="B209" s="32" t="s">
        <v>482</v>
      </c>
      <c r="C209" s="40"/>
      <c r="D209" s="40" t="s">
        <v>480</v>
      </c>
      <c r="E209" s="64" t="s">
        <v>221</v>
      </c>
    </row>
    <row r="210" spans="1:5">
      <c r="A210" s="40">
        <f t="shared" ref="A210:A215" si="1">+A209+1</f>
        <v>3</v>
      </c>
      <c r="B210" s="32" t="s">
        <v>483</v>
      </c>
      <c r="C210" s="40"/>
      <c r="D210" s="40" t="s">
        <v>480</v>
      </c>
      <c r="E210" s="64" t="s">
        <v>226</v>
      </c>
    </row>
    <row r="211" spans="1:5" ht="31.5">
      <c r="A211" s="40">
        <f t="shared" si="1"/>
        <v>4</v>
      </c>
      <c r="B211" s="32" t="s">
        <v>484</v>
      </c>
      <c r="C211" s="40"/>
      <c r="D211" s="40" t="s">
        <v>485</v>
      </c>
      <c r="E211" s="64" t="s">
        <v>249</v>
      </c>
    </row>
    <row r="212" spans="1:5">
      <c r="A212" s="40">
        <f t="shared" si="1"/>
        <v>5</v>
      </c>
      <c r="B212" s="32" t="s">
        <v>486</v>
      </c>
      <c r="C212" s="40"/>
      <c r="D212" s="40" t="s">
        <v>487</v>
      </c>
      <c r="E212" s="64" t="s">
        <v>249</v>
      </c>
    </row>
    <row r="213" spans="1:5" ht="18.75">
      <c r="A213" s="40">
        <f t="shared" si="1"/>
        <v>6</v>
      </c>
      <c r="B213" s="32" t="s">
        <v>488</v>
      </c>
      <c r="C213" s="40" t="s">
        <v>489</v>
      </c>
      <c r="D213" s="40" t="s">
        <v>490</v>
      </c>
      <c r="E213" s="64" t="s">
        <v>249</v>
      </c>
    </row>
    <row r="214" spans="1:5" ht="18.75">
      <c r="A214" s="40">
        <f t="shared" si="1"/>
        <v>7</v>
      </c>
      <c r="B214" s="32" t="s">
        <v>491</v>
      </c>
      <c r="C214" s="40" t="s">
        <v>492</v>
      </c>
      <c r="D214" s="64" t="s">
        <v>493</v>
      </c>
      <c r="E214" s="64" t="s">
        <v>249</v>
      </c>
    </row>
    <row r="215" spans="1:5">
      <c r="A215" s="40">
        <f t="shared" si="1"/>
        <v>8</v>
      </c>
      <c r="B215" s="32" t="s">
        <v>494</v>
      </c>
      <c r="C215" s="40" t="s">
        <v>495</v>
      </c>
      <c r="D215" s="64" t="s">
        <v>498</v>
      </c>
      <c r="E215" s="64" t="s">
        <v>249</v>
      </c>
    </row>
    <row r="216" spans="1:5">
      <c r="A216" s="57" t="s">
        <v>499</v>
      </c>
      <c r="B216" s="137" t="s">
        <v>500</v>
      </c>
      <c r="C216" s="133"/>
      <c r="D216" s="138"/>
      <c r="E216" s="40"/>
    </row>
    <row r="217" spans="1:5">
      <c r="A217" s="64">
        <v>1</v>
      </c>
      <c r="B217" s="32" t="s">
        <v>501</v>
      </c>
      <c r="C217" s="64"/>
      <c r="D217" s="40" t="s">
        <v>242</v>
      </c>
      <c r="E217" s="115" t="s">
        <v>762</v>
      </c>
    </row>
    <row r="218" spans="1:5">
      <c r="A218" s="64">
        <v>2</v>
      </c>
      <c r="B218" s="32" t="s">
        <v>502</v>
      </c>
      <c r="C218" s="64"/>
      <c r="D218" s="40" t="s">
        <v>242</v>
      </c>
      <c r="E218" s="40" t="s">
        <v>503</v>
      </c>
    </row>
    <row r="219" spans="1:5">
      <c r="A219" s="64">
        <v>3</v>
      </c>
      <c r="B219" s="32" t="s">
        <v>504</v>
      </c>
      <c r="C219" s="64"/>
      <c r="D219" s="64" t="s">
        <v>505</v>
      </c>
      <c r="E219" s="40" t="s">
        <v>249</v>
      </c>
    </row>
    <row r="220" spans="1:5">
      <c r="A220" s="64">
        <v>4</v>
      </c>
      <c r="B220" s="32" t="s">
        <v>506</v>
      </c>
      <c r="C220" s="64"/>
      <c r="D220" s="64" t="s">
        <v>507</v>
      </c>
      <c r="E220" s="40" t="s">
        <v>249</v>
      </c>
    </row>
    <row r="221" spans="1:5">
      <c r="A221" s="64">
        <v>5</v>
      </c>
      <c r="B221" s="32" t="s">
        <v>508</v>
      </c>
      <c r="C221" s="64"/>
      <c r="D221" s="82" t="s">
        <v>509</v>
      </c>
      <c r="E221" s="40" t="s">
        <v>249</v>
      </c>
    </row>
    <row r="222" spans="1:5">
      <c r="A222" s="64">
        <v>6</v>
      </c>
      <c r="B222" s="32" t="s">
        <v>510</v>
      </c>
      <c r="C222" s="64"/>
      <c r="D222" s="82" t="s">
        <v>511</v>
      </c>
      <c r="E222" s="40" t="s">
        <v>249</v>
      </c>
    </row>
    <row r="223" spans="1:5">
      <c r="A223" s="57" t="s">
        <v>512</v>
      </c>
      <c r="B223" s="130" t="s">
        <v>513</v>
      </c>
      <c r="C223" s="130"/>
      <c r="D223" s="130"/>
      <c r="E223" s="40"/>
    </row>
    <row r="224" spans="1:5">
      <c r="A224" s="64">
        <v>1</v>
      </c>
      <c r="B224" s="32" t="s">
        <v>514</v>
      </c>
      <c r="C224" s="57"/>
      <c r="D224" s="40" t="s">
        <v>242</v>
      </c>
      <c r="E224" s="40" t="s">
        <v>515</v>
      </c>
    </row>
    <row r="225" spans="1:5">
      <c r="A225" s="64">
        <v>2</v>
      </c>
      <c r="B225" s="32" t="s">
        <v>4</v>
      </c>
      <c r="C225" s="57"/>
      <c r="D225" s="40" t="s">
        <v>242</v>
      </c>
      <c r="E225" s="40" t="s">
        <v>225</v>
      </c>
    </row>
    <row r="226" spans="1:5">
      <c r="A226" s="64">
        <v>3</v>
      </c>
      <c r="B226" s="32" t="s">
        <v>516</v>
      </c>
      <c r="C226" s="57"/>
      <c r="D226" s="40" t="s">
        <v>517</v>
      </c>
      <c r="E226" s="40" t="s">
        <v>249</v>
      </c>
    </row>
    <row r="227" spans="1:5">
      <c r="A227" s="64">
        <v>4</v>
      </c>
      <c r="B227" s="32" t="s">
        <v>518</v>
      </c>
      <c r="C227" s="57"/>
      <c r="D227" s="40" t="s">
        <v>519</v>
      </c>
      <c r="E227" s="40" t="s">
        <v>249</v>
      </c>
    </row>
    <row r="228" spans="1:5">
      <c r="A228" s="64">
        <v>5</v>
      </c>
      <c r="B228" s="32" t="s">
        <v>520</v>
      </c>
      <c r="C228" s="57"/>
      <c r="D228" s="40" t="s">
        <v>521</v>
      </c>
      <c r="E228" s="40" t="s">
        <v>249</v>
      </c>
    </row>
    <row r="229" spans="1:5" ht="31.5">
      <c r="A229" s="64">
        <v>6</v>
      </c>
      <c r="B229" s="83" t="s">
        <v>522</v>
      </c>
      <c r="C229" s="57"/>
      <c r="D229" s="40" t="s">
        <v>523</v>
      </c>
      <c r="E229" s="40" t="s">
        <v>249</v>
      </c>
    </row>
    <row r="230" spans="1:5">
      <c r="A230" s="84" t="s">
        <v>524</v>
      </c>
      <c r="B230" s="63" t="s">
        <v>525</v>
      </c>
      <c r="C230" s="85"/>
      <c r="D230" s="40"/>
      <c r="E230" s="86"/>
    </row>
    <row r="231" spans="1:5" ht="33">
      <c r="A231" s="87">
        <v>1</v>
      </c>
      <c r="B231" s="32" t="s">
        <v>501</v>
      </c>
      <c r="C231" s="85"/>
      <c r="D231" s="40" t="s">
        <v>242</v>
      </c>
      <c r="E231" s="42" t="s">
        <v>526</v>
      </c>
    </row>
    <row r="232" spans="1:5" ht="33">
      <c r="A232" s="87">
        <v>2</v>
      </c>
      <c r="B232" s="32" t="s">
        <v>502</v>
      </c>
      <c r="C232" s="85"/>
      <c r="D232" s="40" t="s">
        <v>242</v>
      </c>
      <c r="E232" s="42" t="s">
        <v>527</v>
      </c>
    </row>
    <row r="233" spans="1:5">
      <c r="A233" s="84" t="s">
        <v>528</v>
      </c>
      <c r="B233" s="63" t="s">
        <v>529</v>
      </c>
      <c r="C233" s="85"/>
      <c r="D233" s="40"/>
      <c r="E233" s="86"/>
    </row>
    <row r="234" spans="1:5" ht="16.5">
      <c r="A234" s="87">
        <v>1</v>
      </c>
      <c r="B234" s="32" t="s">
        <v>501</v>
      </c>
      <c r="C234" s="85"/>
      <c r="D234" s="40" t="s">
        <v>242</v>
      </c>
      <c r="E234" s="42" t="s">
        <v>530</v>
      </c>
    </row>
    <row r="235" spans="1:5" ht="16.5">
      <c r="A235" s="87">
        <v>2</v>
      </c>
      <c r="B235" s="32" t="s">
        <v>502</v>
      </c>
      <c r="C235" s="85"/>
      <c r="D235" s="40" t="s">
        <v>242</v>
      </c>
      <c r="E235" s="42" t="s">
        <v>323</v>
      </c>
    </row>
    <row r="236" spans="1:5" ht="47.25">
      <c r="A236" s="87">
        <v>3</v>
      </c>
      <c r="B236" s="32" t="s">
        <v>531</v>
      </c>
      <c r="C236" s="85"/>
      <c r="D236" s="40" t="s">
        <v>532</v>
      </c>
      <c r="E236" s="40" t="s">
        <v>249</v>
      </c>
    </row>
    <row r="237" spans="1:5">
      <c r="A237" s="84" t="s">
        <v>533</v>
      </c>
      <c r="B237" s="63" t="s">
        <v>151</v>
      </c>
      <c r="C237" s="85"/>
      <c r="D237" s="62"/>
      <c r="E237" s="40"/>
    </row>
    <row r="238" spans="1:5" ht="16.5">
      <c r="A238" s="87">
        <v>1</v>
      </c>
      <c r="B238" s="68" t="s">
        <v>514</v>
      </c>
      <c r="C238" s="64"/>
      <c r="D238" s="42" t="s">
        <v>242</v>
      </c>
      <c r="E238" s="42" t="s">
        <v>534</v>
      </c>
    </row>
    <row r="239" spans="1:5" ht="16.5">
      <c r="A239" s="87">
        <v>2</v>
      </c>
      <c r="B239" s="68" t="s">
        <v>4</v>
      </c>
      <c r="C239" s="64"/>
      <c r="D239" s="42" t="s">
        <v>242</v>
      </c>
      <c r="E239" s="42" t="s">
        <v>223</v>
      </c>
    </row>
    <row r="240" spans="1:5" ht="98.25">
      <c r="A240" s="87">
        <v>3</v>
      </c>
      <c r="B240" s="68" t="s">
        <v>535</v>
      </c>
      <c r="C240" s="64"/>
      <c r="D240" s="42" t="s">
        <v>536</v>
      </c>
      <c r="E240" s="42" t="s">
        <v>249</v>
      </c>
    </row>
    <row r="241" spans="1:5">
      <c r="A241" s="84" t="s">
        <v>537</v>
      </c>
      <c r="B241" s="63" t="s">
        <v>538</v>
      </c>
      <c r="C241" s="85"/>
      <c r="D241" s="62"/>
      <c r="E241" s="40"/>
    </row>
    <row r="242" spans="1:5" ht="16.5">
      <c r="A242" s="42">
        <v>1</v>
      </c>
      <c r="B242" s="68" t="s">
        <v>514</v>
      </c>
      <c r="C242" s="85"/>
      <c r="D242" s="42" t="s">
        <v>242</v>
      </c>
      <c r="E242" s="42" t="s">
        <v>539</v>
      </c>
    </row>
    <row r="243" spans="1:5" ht="16.5">
      <c r="A243" s="42">
        <v>2</v>
      </c>
      <c r="B243" s="68" t="s">
        <v>4</v>
      </c>
      <c r="C243" s="85"/>
      <c r="D243" s="42" t="s">
        <v>242</v>
      </c>
      <c r="E243" s="42" t="s">
        <v>222</v>
      </c>
    </row>
    <row r="244" spans="1:5" ht="16.5">
      <c r="A244" s="42">
        <v>3</v>
      </c>
      <c r="B244" s="68" t="s">
        <v>540</v>
      </c>
      <c r="C244" s="85"/>
      <c r="D244" s="42" t="s">
        <v>541</v>
      </c>
      <c r="E244" s="42" t="s">
        <v>249</v>
      </c>
    </row>
    <row r="245" spans="1:5" ht="33">
      <c r="A245" s="42">
        <v>4</v>
      </c>
      <c r="B245" s="68" t="s">
        <v>542</v>
      </c>
      <c r="C245" s="85"/>
      <c r="D245" s="42" t="s">
        <v>543</v>
      </c>
      <c r="E245" s="42" t="s">
        <v>249</v>
      </c>
    </row>
    <row r="246" spans="1:5" ht="33">
      <c r="A246" s="42">
        <v>5</v>
      </c>
      <c r="B246" s="68" t="s">
        <v>544</v>
      </c>
      <c r="C246" s="85"/>
      <c r="D246" s="42" t="s">
        <v>545</v>
      </c>
      <c r="E246" s="42" t="s">
        <v>546</v>
      </c>
    </row>
    <row r="247" spans="1:5" ht="66">
      <c r="A247" s="42">
        <v>6</v>
      </c>
      <c r="B247" s="68" t="s">
        <v>547</v>
      </c>
      <c r="C247" s="85"/>
      <c r="D247" s="42" t="s">
        <v>548</v>
      </c>
      <c r="E247" s="42" t="s">
        <v>249</v>
      </c>
    </row>
    <row r="248" spans="1:5" ht="66">
      <c r="A248" s="42">
        <v>7</v>
      </c>
      <c r="B248" s="68" t="s">
        <v>549</v>
      </c>
      <c r="C248" s="85"/>
      <c r="D248" s="42" t="s">
        <v>550</v>
      </c>
      <c r="E248" s="42" t="s">
        <v>551</v>
      </c>
    </row>
    <row r="249" spans="1:5" ht="16.5">
      <c r="A249" s="42">
        <v>8</v>
      </c>
      <c r="B249" s="68" t="s">
        <v>552</v>
      </c>
      <c r="C249" s="85"/>
      <c r="D249" s="42" t="s">
        <v>553</v>
      </c>
      <c r="E249" s="42" t="s">
        <v>554</v>
      </c>
    </row>
    <row r="250" spans="1:5" ht="33">
      <c r="A250" s="42">
        <v>9</v>
      </c>
      <c r="B250" s="68" t="s">
        <v>555</v>
      </c>
      <c r="C250" s="85"/>
      <c r="D250" s="42" t="s">
        <v>556</v>
      </c>
      <c r="E250" s="42" t="s">
        <v>557</v>
      </c>
    </row>
    <row r="251" spans="1:5" ht="16.5">
      <c r="A251" s="42">
        <v>10</v>
      </c>
      <c r="B251" s="68" t="s">
        <v>558</v>
      </c>
      <c r="C251" s="85"/>
      <c r="D251" s="42" t="s">
        <v>559</v>
      </c>
      <c r="E251" s="42" t="s">
        <v>249</v>
      </c>
    </row>
    <row r="252" spans="1:5" ht="33">
      <c r="A252" s="42">
        <v>11</v>
      </c>
      <c r="B252" s="68" t="s">
        <v>560</v>
      </c>
      <c r="C252" s="85"/>
      <c r="D252" s="42" t="s">
        <v>561</v>
      </c>
      <c r="E252" s="42" t="s">
        <v>249</v>
      </c>
    </row>
    <row r="253" spans="1:5" ht="49.5">
      <c r="A253" s="42">
        <v>12</v>
      </c>
      <c r="B253" s="68" t="s">
        <v>562</v>
      </c>
      <c r="C253" s="85"/>
      <c r="D253" s="42" t="s">
        <v>563</v>
      </c>
      <c r="E253" s="42" t="s">
        <v>249</v>
      </c>
    </row>
    <row r="254" spans="1:5" ht="69">
      <c r="A254" s="42">
        <v>13</v>
      </c>
      <c r="B254" s="68" t="s">
        <v>564</v>
      </c>
      <c r="C254" s="85"/>
      <c r="D254" s="42" t="s">
        <v>565</v>
      </c>
      <c r="E254" s="42" t="s">
        <v>249</v>
      </c>
    </row>
    <row r="255" spans="1:5" ht="66">
      <c r="A255" s="42">
        <v>14</v>
      </c>
      <c r="B255" s="68" t="s">
        <v>566</v>
      </c>
      <c r="C255" s="85"/>
      <c r="D255" s="42" t="s">
        <v>567</v>
      </c>
      <c r="E255" s="42" t="s">
        <v>249</v>
      </c>
    </row>
    <row r="256" spans="1:5" ht="72">
      <c r="A256" s="139">
        <v>15</v>
      </c>
      <c r="B256" s="142" t="s">
        <v>568</v>
      </c>
      <c r="C256" s="145"/>
      <c r="D256" s="88" t="s">
        <v>569</v>
      </c>
      <c r="E256" s="42" t="s">
        <v>249</v>
      </c>
    </row>
    <row r="257" spans="1:5" ht="33">
      <c r="A257" s="140"/>
      <c r="B257" s="143"/>
      <c r="C257" s="146"/>
      <c r="D257" s="59" t="s">
        <v>570</v>
      </c>
      <c r="E257" s="42" t="s">
        <v>249</v>
      </c>
    </row>
    <row r="258" spans="1:5" ht="16.5">
      <c r="A258" s="141"/>
      <c r="B258" s="144"/>
      <c r="C258" s="147"/>
      <c r="D258" s="42" t="s">
        <v>571</v>
      </c>
      <c r="E258" s="42" t="s">
        <v>249</v>
      </c>
    </row>
    <row r="259" spans="1:5" ht="49.5">
      <c r="A259" s="42">
        <v>16</v>
      </c>
      <c r="B259" s="68" t="s">
        <v>572</v>
      </c>
      <c r="C259" s="85"/>
      <c r="D259" s="42" t="s">
        <v>573</v>
      </c>
      <c r="E259" s="42" t="s">
        <v>249</v>
      </c>
    </row>
    <row r="260" spans="1:5" ht="49.5">
      <c r="A260" s="42">
        <v>17</v>
      </c>
      <c r="B260" s="68" t="s">
        <v>574</v>
      </c>
      <c r="C260" s="85"/>
      <c r="D260" s="42" t="s">
        <v>575</v>
      </c>
      <c r="E260" s="42" t="s">
        <v>249</v>
      </c>
    </row>
    <row r="261" spans="1:5" ht="33">
      <c r="A261" s="148">
        <v>18</v>
      </c>
      <c r="B261" s="149" t="s">
        <v>576</v>
      </c>
      <c r="C261" s="145"/>
      <c r="D261" s="59" t="s">
        <v>577</v>
      </c>
      <c r="E261" s="42" t="s">
        <v>249</v>
      </c>
    </row>
    <row r="262" spans="1:5" ht="66">
      <c r="A262" s="148"/>
      <c r="B262" s="149"/>
      <c r="C262" s="146"/>
      <c r="D262" s="59" t="s">
        <v>578</v>
      </c>
      <c r="E262" s="42" t="s">
        <v>249</v>
      </c>
    </row>
    <row r="263" spans="1:5" ht="33">
      <c r="A263" s="139"/>
      <c r="B263" s="142"/>
      <c r="C263" s="147"/>
      <c r="D263" s="42" t="s">
        <v>579</v>
      </c>
      <c r="E263" s="42" t="s">
        <v>249</v>
      </c>
    </row>
    <row r="264" spans="1:5" ht="16.5">
      <c r="A264" s="58" t="s">
        <v>580</v>
      </c>
      <c r="B264" s="89" t="s">
        <v>581</v>
      </c>
      <c r="C264" s="85"/>
      <c r="D264" s="62"/>
      <c r="E264" s="40"/>
    </row>
    <row r="265" spans="1:5" ht="18.75">
      <c r="A265" s="40"/>
      <c r="B265" s="90" t="s">
        <v>501</v>
      </c>
      <c r="C265" s="85"/>
      <c r="D265" s="91" t="s">
        <v>242</v>
      </c>
      <c r="E265" s="42" t="s">
        <v>219</v>
      </c>
    </row>
    <row r="266" spans="1:5" ht="33">
      <c r="A266" s="40"/>
      <c r="B266" s="90" t="s">
        <v>502</v>
      </c>
      <c r="C266" s="85"/>
      <c r="D266" s="91" t="s">
        <v>242</v>
      </c>
      <c r="E266" s="42" t="s">
        <v>582</v>
      </c>
    </row>
    <row r="267" spans="1:5" ht="18.75">
      <c r="A267" s="40"/>
      <c r="B267" s="90" t="s">
        <v>583</v>
      </c>
      <c r="C267" s="85"/>
      <c r="D267" s="91" t="s">
        <v>584</v>
      </c>
      <c r="E267" s="42" t="s">
        <v>249</v>
      </c>
    </row>
    <row r="268" spans="1:5" ht="18.75">
      <c r="A268" s="91" t="s">
        <v>585</v>
      </c>
      <c r="B268" s="90" t="s">
        <v>586</v>
      </c>
      <c r="C268" s="85"/>
      <c r="D268" s="40"/>
      <c r="E268" s="42"/>
    </row>
    <row r="269" spans="1:5" ht="93.75">
      <c r="A269" s="150"/>
      <c r="B269" s="153" t="s">
        <v>587</v>
      </c>
      <c r="C269" s="85"/>
      <c r="D269" s="92" t="s">
        <v>588</v>
      </c>
      <c r="E269" s="42" t="s">
        <v>249</v>
      </c>
    </row>
    <row r="270" spans="1:5" ht="150">
      <c r="A270" s="151"/>
      <c r="B270" s="153"/>
      <c r="C270" s="85"/>
      <c r="D270" s="92" t="s">
        <v>589</v>
      </c>
      <c r="E270" s="42" t="s">
        <v>249</v>
      </c>
    </row>
    <row r="271" spans="1:5" ht="75">
      <c r="A271" s="152"/>
      <c r="B271" s="153"/>
      <c r="C271" s="85"/>
      <c r="D271" s="92" t="s">
        <v>590</v>
      </c>
      <c r="E271" s="42" t="s">
        <v>249</v>
      </c>
    </row>
    <row r="272" spans="1:5" ht="33">
      <c r="A272" s="40"/>
      <c r="B272" s="90" t="s">
        <v>591</v>
      </c>
      <c r="C272" s="85"/>
      <c r="D272" s="42" t="s">
        <v>592</v>
      </c>
      <c r="E272" s="42" t="s">
        <v>249</v>
      </c>
    </row>
    <row r="273" spans="1:5" ht="18.75">
      <c r="A273" s="40"/>
      <c r="B273" s="93" t="s">
        <v>593</v>
      </c>
      <c r="C273" s="85"/>
      <c r="D273" s="91" t="s">
        <v>414</v>
      </c>
      <c r="E273" s="42" t="s">
        <v>249</v>
      </c>
    </row>
    <row r="274" spans="1:5" ht="18.75">
      <c r="A274" s="40"/>
      <c r="B274" s="93" t="s">
        <v>594</v>
      </c>
      <c r="C274" s="85"/>
      <c r="D274" s="91" t="s">
        <v>595</v>
      </c>
      <c r="E274" s="42" t="s">
        <v>249</v>
      </c>
    </row>
    <row r="275" spans="1:5" ht="56.25">
      <c r="A275" s="131"/>
      <c r="B275" s="154" t="s">
        <v>596</v>
      </c>
      <c r="C275" s="85"/>
      <c r="D275" s="92" t="s">
        <v>597</v>
      </c>
      <c r="E275" s="42" t="s">
        <v>249</v>
      </c>
    </row>
    <row r="276" spans="1:5" ht="37.5">
      <c r="A276" s="131"/>
      <c r="B276" s="154"/>
      <c r="C276" s="85"/>
      <c r="D276" s="92" t="s">
        <v>598</v>
      </c>
      <c r="E276" s="42" t="s">
        <v>249</v>
      </c>
    </row>
    <row r="277" spans="1:5" ht="37.5">
      <c r="A277" s="40"/>
      <c r="B277" s="90" t="s">
        <v>599</v>
      </c>
      <c r="C277" s="85"/>
      <c r="D277" s="91" t="s">
        <v>249</v>
      </c>
      <c r="E277" s="42" t="s">
        <v>249</v>
      </c>
    </row>
    <row r="278" spans="1:5" ht="75">
      <c r="A278" s="40"/>
      <c r="B278" s="90" t="s">
        <v>600</v>
      </c>
      <c r="C278" s="85"/>
      <c r="D278" s="91" t="s">
        <v>601</v>
      </c>
      <c r="E278" s="42" t="s">
        <v>249</v>
      </c>
    </row>
    <row r="279" spans="1:5" ht="18.75">
      <c r="A279" s="91" t="s">
        <v>602</v>
      </c>
      <c r="B279" s="90" t="s">
        <v>603</v>
      </c>
      <c r="C279" s="85"/>
      <c r="D279" s="40"/>
      <c r="E279" s="42"/>
    </row>
    <row r="280" spans="1:5" ht="56.25">
      <c r="A280" s="131"/>
      <c r="B280" s="153" t="s">
        <v>604</v>
      </c>
      <c r="C280" s="85"/>
      <c r="D280" s="92" t="s">
        <v>605</v>
      </c>
      <c r="E280" s="42" t="s">
        <v>249</v>
      </c>
    </row>
    <row r="281" spans="1:5" ht="93.75">
      <c r="A281" s="131"/>
      <c r="B281" s="153"/>
      <c r="C281" s="85"/>
      <c r="D281" s="92" t="s">
        <v>606</v>
      </c>
      <c r="E281" s="42" t="s">
        <v>249</v>
      </c>
    </row>
    <row r="282" spans="1:5" ht="18.75">
      <c r="A282" s="131"/>
      <c r="B282" s="153"/>
      <c r="C282" s="85"/>
      <c r="D282" s="92" t="s">
        <v>607</v>
      </c>
      <c r="E282" s="42" t="s">
        <v>249</v>
      </c>
    </row>
    <row r="283" spans="1:5" ht="18.75">
      <c r="A283" s="131"/>
      <c r="B283" s="153"/>
      <c r="C283" s="85"/>
      <c r="D283" s="91" t="s">
        <v>608</v>
      </c>
      <c r="E283" s="42" t="s">
        <v>249</v>
      </c>
    </row>
    <row r="284" spans="1:5" ht="37.5">
      <c r="A284" s="131"/>
      <c r="B284" s="153"/>
      <c r="C284" s="85"/>
      <c r="D284" s="91" t="s">
        <v>609</v>
      </c>
      <c r="E284" s="42" t="s">
        <v>249</v>
      </c>
    </row>
    <row r="285" spans="1:5" ht="56.25">
      <c r="A285" s="131"/>
      <c r="B285" s="153"/>
      <c r="C285" s="85"/>
      <c r="D285" s="91" t="s">
        <v>610</v>
      </c>
      <c r="E285" s="42" t="s">
        <v>249</v>
      </c>
    </row>
    <row r="286" spans="1:5" ht="37.5">
      <c r="A286" s="131"/>
      <c r="B286" s="153"/>
      <c r="C286" s="85"/>
      <c r="D286" s="91" t="s">
        <v>611</v>
      </c>
      <c r="E286" s="42" t="s">
        <v>249</v>
      </c>
    </row>
    <row r="287" spans="1:5" ht="37.5">
      <c r="A287" s="131"/>
      <c r="B287" s="153"/>
      <c r="C287" s="85"/>
      <c r="D287" s="91" t="s">
        <v>612</v>
      </c>
      <c r="E287" s="42" t="s">
        <v>249</v>
      </c>
    </row>
    <row r="288" spans="1:5" ht="56.25">
      <c r="A288" s="131"/>
      <c r="B288" s="153" t="s">
        <v>613</v>
      </c>
      <c r="C288" s="85"/>
      <c r="D288" s="92" t="s">
        <v>614</v>
      </c>
      <c r="E288" s="42" t="s">
        <v>249</v>
      </c>
    </row>
    <row r="289" spans="1:5" ht="93.75">
      <c r="A289" s="131"/>
      <c r="B289" s="153"/>
      <c r="C289" s="85"/>
      <c r="D289" s="92" t="s">
        <v>606</v>
      </c>
      <c r="E289" s="42" t="s">
        <v>249</v>
      </c>
    </row>
    <row r="290" spans="1:5" ht="18.75">
      <c r="A290" s="131"/>
      <c r="B290" s="153"/>
      <c r="C290" s="85"/>
      <c r="D290" s="91" t="s">
        <v>615</v>
      </c>
      <c r="E290" s="42" t="s">
        <v>249</v>
      </c>
    </row>
    <row r="291" spans="1:5" ht="18.75">
      <c r="A291" s="131"/>
      <c r="B291" s="153"/>
      <c r="C291" s="85"/>
      <c r="D291" s="91" t="s">
        <v>616</v>
      </c>
      <c r="E291" s="42" t="s">
        <v>249</v>
      </c>
    </row>
    <row r="292" spans="1:5" ht="37.5">
      <c r="A292" s="131"/>
      <c r="B292" s="153"/>
      <c r="C292" s="85"/>
      <c r="D292" s="91" t="s">
        <v>617</v>
      </c>
      <c r="E292" s="42" t="s">
        <v>249</v>
      </c>
    </row>
    <row r="293" spans="1:5" ht="56.25">
      <c r="A293" s="131"/>
      <c r="B293" s="153"/>
      <c r="C293" s="85"/>
      <c r="D293" s="94" t="s">
        <v>618</v>
      </c>
      <c r="E293" s="42" t="s">
        <v>249</v>
      </c>
    </row>
    <row r="294" spans="1:5" ht="56.25">
      <c r="A294" s="131"/>
      <c r="B294" s="153"/>
      <c r="C294" s="85"/>
      <c r="D294" s="91" t="s">
        <v>619</v>
      </c>
      <c r="E294" s="42" t="s">
        <v>249</v>
      </c>
    </row>
    <row r="295" spans="1:5" ht="56.25">
      <c r="A295" s="131"/>
      <c r="B295" s="153"/>
      <c r="C295" s="85"/>
      <c r="D295" s="94" t="s">
        <v>620</v>
      </c>
      <c r="E295" s="42" t="s">
        <v>249</v>
      </c>
    </row>
    <row r="296" spans="1:5" ht="16.5">
      <c r="A296" s="42"/>
      <c r="B296" s="68" t="s">
        <v>621</v>
      </c>
      <c r="C296" s="85"/>
      <c r="D296" s="42" t="s">
        <v>414</v>
      </c>
      <c r="E296" s="42" t="s">
        <v>249</v>
      </c>
    </row>
    <row r="297" spans="1:5" ht="16.5">
      <c r="A297" s="42"/>
      <c r="B297" s="68" t="s">
        <v>622</v>
      </c>
      <c r="C297" s="85"/>
      <c r="D297" s="42" t="s">
        <v>595</v>
      </c>
      <c r="E297" s="42" t="s">
        <v>249</v>
      </c>
    </row>
    <row r="298" spans="1:5" ht="49.5">
      <c r="A298" s="148"/>
      <c r="B298" s="149" t="s">
        <v>623</v>
      </c>
      <c r="C298" s="85"/>
      <c r="D298" s="42" t="s">
        <v>624</v>
      </c>
      <c r="E298" s="42" t="s">
        <v>249</v>
      </c>
    </row>
    <row r="299" spans="1:5" ht="33">
      <c r="A299" s="148"/>
      <c r="B299" s="149"/>
      <c r="C299" s="85"/>
      <c r="D299" s="42" t="s">
        <v>625</v>
      </c>
      <c r="E299" s="42" t="s">
        <v>249</v>
      </c>
    </row>
    <row r="300" spans="1:5" ht="33">
      <c r="A300" s="42"/>
      <c r="B300" s="68" t="s">
        <v>626</v>
      </c>
      <c r="C300" s="85"/>
      <c r="D300" s="42" t="s">
        <v>627</v>
      </c>
      <c r="E300" s="42" t="s">
        <v>249</v>
      </c>
    </row>
    <row r="301" spans="1:5" ht="51.75">
      <c r="A301" s="148"/>
      <c r="B301" s="149" t="s">
        <v>628</v>
      </c>
      <c r="C301" s="85"/>
      <c r="D301" s="91" t="s">
        <v>629</v>
      </c>
      <c r="E301" s="42" t="s">
        <v>249</v>
      </c>
    </row>
    <row r="302" spans="1:5" ht="68.25">
      <c r="A302" s="148"/>
      <c r="B302" s="149"/>
      <c r="C302" s="85"/>
      <c r="D302" s="91" t="s">
        <v>630</v>
      </c>
      <c r="E302" s="42" t="s">
        <v>249</v>
      </c>
    </row>
    <row r="303" spans="1:5" ht="49.5">
      <c r="A303" s="42"/>
      <c r="B303" s="68" t="s">
        <v>600</v>
      </c>
      <c r="C303" s="85"/>
      <c r="D303" s="42" t="s">
        <v>631</v>
      </c>
      <c r="E303" s="42" t="s">
        <v>249</v>
      </c>
    </row>
    <row r="304" spans="1:5" ht="33">
      <c r="A304" s="95" t="s">
        <v>632</v>
      </c>
      <c r="B304" s="155" t="s">
        <v>633</v>
      </c>
      <c r="C304" s="155"/>
      <c r="D304" s="95"/>
      <c r="E304" s="40"/>
    </row>
    <row r="305" spans="1:5" ht="16.5">
      <c r="A305" s="95" t="s">
        <v>634</v>
      </c>
      <c r="B305" s="155" t="s">
        <v>586</v>
      </c>
      <c r="C305" s="156"/>
      <c r="D305" s="67"/>
      <c r="E305" s="40"/>
    </row>
    <row r="306" spans="1:5" ht="16.5">
      <c r="A306" s="60">
        <v>1</v>
      </c>
      <c r="B306" s="96" t="s">
        <v>404</v>
      </c>
      <c r="C306" s="64"/>
      <c r="D306" s="97" t="s">
        <v>405</v>
      </c>
      <c r="E306" s="67" t="s">
        <v>635</v>
      </c>
    </row>
    <row r="307" spans="1:5" ht="16.5">
      <c r="A307" s="60">
        <v>2</v>
      </c>
      <c r="B307" s="96" t="s">
        <v>241</v>
      </c>
      <c r="C307" s="64"/>
      <c r="D307" s="97" t="s">
        <v>405</v>
      </c>
      <c r="E307" s="67" t="s">
        <v>636</v>
      </c>
    </row>
    <row r="308" spans="1:5" ht="16.5">
      <c r="A308" s="60">
        <v>3</v>
      </c>
      <c r="B308" s="96" t="s">
        <v>243</v>
      </c>
      <c r="C308" s="64"/>
      <c r="D308" s="97" t="s">
        <v>405</v>
      </c>
      <c r="E308" s="67" t="s">
        <v>220</v>
      </c>
    </row>
    <row r="309" spans="1:5" ht="16.5">
      <c r="A309" s="60">
        <v>4</v>
      </c>
      <c r="B309" s="96" t="s">
        <v>409</v>
      </c>
      <c r="C309" s="64"/>
      <c r="D309" s="97" t="s">
        <v>410</v>
      </c>
      <c r="E309" s="60" t="s">
        <v>249</v>
      </c>
    </row>
    <row r="310" spans="1:5" ht="33">
      <c r="A310" s="60">
        <v>5</v>
      </c>
      <c r="B310" s="96" t="s">
        <v>411</v>
      </c>
      <c r="C310" s="64"/>
      <c r="D310" s="97" t="s">
        <v>412</v>
      </c>
      <c r="E310" s="60" t="s">
        <v>249</v>
      </c>
    </row>
    <row r="311" spans="1:5" ht="33">
      <c r="A311" s="60">
        <v>6</v>
      </c>
      <c r="B311" s="96" t="s">
        <v>637</v>
      </c>
      <c r="C311" s="64"/>
      <c r="D311" s="97" t="s">
        <v>414</v>
      </c>
      <c r="E311" s="60" t="s">
        <v>249</v>
      </c>
    </row>
    <row r="312" spans="1:5" ht="16.5">
      <c r="A312" s="60">
        <v>7</v>
      </c>
      <c r="B312" s="96" t="s">
        <v>415</v>
      </c>
      <c r="C312" s="64"/>
      <c r="D312" s="97" t="s">
        <v>416</v>
      </c>
      <c r="E312" s="60" t="s">
        <v>249</v>
      </c>
    </row>
    <row r="313" spans="1:5" ht="33">
      <c r="A313" s="60">
        <v>8</v>
      </c>
      <c r="B313" s="96" t="s">
        <v>244</v>
      </c>
      <c r="C313" s="64"/>
      <c r="D313" s="97" t="s">
        <v>417</v>
      </c>
      <c r="E313" s="60" t="s">
        <v>249</v>
      </c>
    </row>
    <row r="314" spans="1:5" ht="16.5">
      <c r="A314" s="60">
        <v>9</v>
      </c>
      <c r="B314" s="96" t="s">
        <v>418</v>
      </c>
      <c r="C314" s="64"/>
      <c r="D314" s="97" t="s">
        <v>419</v>
      </c>
      <c r="E314" s="60" t="s">
        <v>249</v>
      </c>
    </row>
    <row r="315" spans="1:5" ht="49.5">
      <c r="A315" s="60">
        <v>10</v>
      </c>
      <c r="B315" s="96" t="s">
        <v>420</v>
      </c>
      <c r="C315" s="64"/>
      <c r="D315" s="97" t="s">
        <v>638</v>
      </c>
      <c r="E315" s="60" t="s">
        <v>249</v>
      </c>
    </row>
    <row r="316" spans="1:5" ht="49.5">
      <c r="A316" s="60">
        <v>11</v>
      </c>
      <c r="B316" s="96" t="s">
        <v>422</v>
      </c>
      <c r="C316" s="64"/>
      <c r="D316" s="97" t="s">
        <v>423</v>
      </c>
      <c r="E316" s="60" t="s">
        <v>424</v>
      </c>
    </row>
    <row r="317" spans="1:5" ht="33">
      <c r="A317" s="60">
        <v>12</v>
      </c>
      <c r="B317" s="96" t="s">
        <v>639</v>
      </c>
      <c r="C317" s="64"/>
      <c r="D317" s="97" t="s">
        <v>249</v>
      </c>
      <c r="E317" s="60" t="s">
        <v>249</v>
      </c>
    </row>
    <row r="318" spans="1:5" ht="16.5">
      <c r="A318" s="95" t="s">
        <v>640</v>
      </c>
      <c r="B318" s="98" t="s">
        <v>641</v>
      </c>
      <c r="C318" s="99"/>
      <c r="D318" s="67"/>
      <c r="E318" s="40"/>
    </row>
    <row r="319" spans="1:5" ht="16.5">
      <c r="A319" s="60">
        <v>1</v>
      </c>
      <c r="B319" s="96" t="s">
        <v>642</v>
      </c>
      <c r="C319" s="64"/>
      <c r="D319" s="97" t="s">
        <v>643</v>
      </c>
      <c r="E319" s="60" t="s">
        <v>249</v>
      </c>
    </row>
    <row r="320" spans="1:5" ht="16.5">
      <c r="A320" s="60">
        <v>2</v>
      </c>
      <c r="B320" s="96" t="s">
        <v>644</v>
      </c>
      <c r="C320" s="64"/>
      <c r="D320" s="97" t="s">
        <v>645</v>
      </c>
      <c r="E320" s="60" t="s">
        <v>249</v>
      </c>
    </row>
    <row r="321" spans="1:5" ht="66">
      <c r="A321" s="60">
        <v>3</v>
      </c>
      <c r="B321" s="96" t="s">
        <v>646</v>
      </c>
      <c r="C321" s="64"/>
      <c r="D321" s="97" t="s">
        <v>647</v>
      </c>
      <c r="E321" s="60" t="s">
        <v>249</v>
      </c>
    </row>
    <row r="322" spans="1:5" ht="16.5">
      <c r="A322" s="60">
        <v>4</v>
      </c>
      <c r="B322" s="96" t="s">
        <v>648</v>
      </c>
      <c r="C322" s="64"/>
      <c r="D322" s="97" t="s">
        <v>649</v>
      </c>
      <c r="E322" s="60" t="s">
        <v>249</v>
      </c>
    </row>
    <row r="323" spans="1:5" ht="16.5">
      <c r="A323" s="60">
        <v>5</v>
      </c>
      <c r="B323" s="96" t="s">
        <v>650</v>
      </c>
      <c r="C323" s="64"/>
      <c r="D323" s="97" t="s">
        <v>651</v>
      </c>
      <c r="E323" s="60" t="s">
        <v>249</v>
      </c>
    </row>
    <row r="324" spans="1:5" ht="16.5">
      <c r="A324" s="60">
        <v>6</v>
      </c>
      <c r="B324" s="96" t="s">
        <v>652</v>
      </c>
      <c r="C324" s="64"/>
      <c r="D324" s="97" t="s">
        <v>653</v>
      </c>
      <c r="E324" s="60" t="s">
        <v>249</v>
      </c>
    </row>
    <row r="325" spans="1:5" ht="16.5">
      <c r="A325" s="60">
        <v>7</v>
      </c>
      <c r="B325" s="96" t="s">
        <v>560</v>
      </c>
      <c r="C325" s="64"/>
      <c r="D325" s="97" t="s">
        <v>654</v>
      </c>
      <c r="E325" s="60" t="s">
        <v>249</v>
      </c>
    </row>
    <row r="326" spans="1:5" ht="49.5">
      <c r="A326" s="60">
        <v>8</v>
      </c>
      <c r="B326" s="96" t="s">
        <v>655</v>
      </c>
      <c r="C326" s="64"/>
      <c r="D326" s="97" t="s">
        <v>656</v>
      </c>
      <c r="E326" s="60" t="s">
        <v>249</v>
      </c>
    </row>
    <row r="327" spans="1:5" ht="16.5">
      <c r="A327" s="60">
        <v>9</v>
      </c>
      <c r="B327" s="96" t="s">
        <v>427</v>
      </c>
      <c r="C327" s="64"/>
      <c r="D327" s="100" t="s">
        <v>657</v>
      </c>
      <c r="E327" s="60" t="s">
        <v>249</v>
      </c>
    </row>
    <row r="328" spans="1:5" ht="16.5">
      <c r="A328" s="60">
        <v>10</v>
      </c>
      <c r="B328" s="96" t="s">
        <v>658</v>
      </c>
      <c r="C328" s="64"/>
      <c r="D328" s="97" t="s">
        <v>659</v>
      </c>
      <c r="E328" s="60" t="s">
        <v>249</v>
      </c>
    </row>
    <row r="329" spans="1:5" ht="16.5">
      <c r="A329" s="60">
        <v>11</v>
      </c>
      <c r="B329" s="96" t="s">
        <v>660</v>
      </c>
      <c r="C329" s="64"/>
      <c r="D329" s="97" t="s">
        <v>661</v>
      </c>
      <c r="E329" s="60" t="s">
        <v>249</v>
      </c>
    </row>
    <row r="330" spans="1:5" ht="16.5">
      <c r="A330" s="157">
        <v>12</v>
      </c>
      <c r="B330" s="158" t="s">
        <v>662</v>
      </c>
      <c r="C330" s="64"/>
      <c r="D330" s="97" t="s">
        <v>663</v>
      </c>
      <c r="E330" s="60" t="s">
        <v>249</v>
      </c>
    </row>
    <row r="331" spans="1:5" ht="16.5">
      <c r="A331" s="157"/>
      <c r="B331" s="158"/>
      <c r="C331" s="64"/>
      <c r="D331" s="97" t="s">
        <v>664</v>
      </c>
      <c r="E331" s="60" t="s">
        <v>249</v>
      </c>
    </row>
    <row r="332" spans="1:5" ht="16.5">
      <c r="A332" s="157">
        <v>13</v>
      </c>
      <c r="B332" s="158" t="s">
        <v>564</v>
      </c>
      <c r="C332" s="64"/>
      <c r="D332" s="97" t="s">
        <v>665</v>
      </c>
      <c r="E332" s="60" t="s">
        <v>249</v>
      </c>
    </row>
    <row r="333" spans="1:5" ht="16.5">
      <c r="A333" s="157"/>
      <c r="B333" s="158"/>
      <c r="C333" s="64"/>
      <c r="D333" s="97" t="s">
        <v>666</v>
      </c>
      <c r="E333" s="60" t="s">
        <v>249</v>
      </c>
    </row>
    <row r="334" spans="1:5" ht="16.5">
      <c r="A334" s="60">
        <v>14</v>
      </c>
      <c r="B334" s="96" t="s">
        <v>667</v>
      </c>
      <c r="C334" s="64"/>
      <c r="D334" s="97" t="s">
        <v>668</v>
      </c>
      <c r="E334" s="60" t="s">
        <v>249</v>
      </c>
    </row>
    <row r="335" spans="1:5" ht="49.5">
      <c r="A335" s="60">
        <v>15</v>
      </c>
      <c r="B335" s="96" t="s">
        <v>669</v>
      </c>
      <c r="C335" s="64"/>
      <c r="D335" s="97" t="s">
        <v>670</v>
      </c>
      <c r="E335" s="60" t="s">
        <v>249</v>
      </c>
    </row>
    <row r="336" spans="1:5" ht="33">
      <c r="A336" s="95" t="s">
        <v>671</v>
      </c>
      <c r="B336" s="155" t="s">
        <v>672</v>
      </c>
      <c r="C336" s="159"/>
      <c r="D336" s="67"/>
      <c r="E336" s="40"/>
    </row>
    <row r="337" spans="1:5" ht="16.5">
      <c r="A337" s="95" t="s">
        <v>634</v>
      </c>
      <c r="B337" s="155" t="s">
        <v>586</v>
      </c>
      <c r="C337" s="156"/>
      <c r="D337" s="67"/>
      <c r="E337" s="40"/>
    </row>
    <row r="338" spans="1:5" ht="165">
      <c r="A338" s="60">
        <v>1</v>
      </c>
      <c r="B338" s="96" t="s">
        <v>404</v>
      </c>
      <c r="C338" s="64"/>
      <c r="D338" s="97" t="s">
        <v>405</v>
      </c>
      <c r="E338" s="101" t="s">
        <v>224</v>
      </c>
    </row>
    <row r="339" spans="1:5" ht="16.5">
      <c r="A339" s="60">
        <v>2</v>
      </c>
      <c r="B339" s="96" t="s">
        <v>241</v>
      </c>
      <c r="C339" s="64"/>
      <c r="D339" s="97" t="s">
        <v>405</v>
      </c>
      <c r="E339" s="67" t="s">
        <v>636</v>
      </c>
    </row>
    <row r="340" spans="1:5" ht="16.5">
      <c r="A340" s="60">
        <v>3</v>
      </c>
      <c r="B340" s="96" t="s">
        <v>243</v>
      </c>
      <c r="C340" s="64"/>
      <c r="D340" s="97" t="s">
        <v>405</v>
      </c>
      <c r="E340" s="67" t="s">
        <v>220</v>
      </c>
    </row>
    <row r="341" spans="1:5" ht="16.5">
      <c r="A341" s="60">
        <v>4</v>
      </c>
      <c r="B341" s="96" t="s">
        <v>409</v>
      </c>
      <c r="C341" s="64"/>
      <c r="D341" s="97" t="s">
        <v>410</v>
      </c>
      <c r="E341" s="60" t="s">
        <v>249</v>
      </c>
    </row>
    <row r="342" spans="1:5" ht="33">
      <c r="A342" s="60">
        <v>5</v>
      </c>
      <c r="B342" s="96" t="s">
        <v>411</v>
      </c>
      <c r="C342" s="64"/>
      <c r="D342" s="97" t="s">
        <v>412</v>
      </c>
      <c r="E342" s="60" t="s">
        <v>249</v>
      </c>
    </row>
    <row r="343" spans="1:5" ht="33">
      <c r="A343" s="60">
        <v>6</v>
      </c>
      <c r="B343" s="96" t="s">
        <v>637</v>
      </c>
      <c r="C343" s="64"/>
      <c r="D343" s="97" t="s">
        <v>414</v>
      </c>
      <c r="E343" s="60" t="s">
        <v>249</v>
      </c>
    </row>
    <row r="344" spans="1:5" ht="16.5">
      <c r="A344" s="60">
        <v>7</v>
      </c>
      <c r="B344" s="96" t="s">
        <v>415</v>
      </c>
      <c r="C344" s="64"/>
      <c r="D344" s="97" t="s">
        <v>416</v>
      </c>
      <c r="E344" s="60" t="s">
        <v>249</v>
      </c>
    </row>
    <row r="345" spans="1:5" ht="33">
      <c r="A345" s="60">
        <v>8</v>
      </c>
      <c r="B345" s="96" t="s">
        <v>244</v>
      </c>
      <c r="C345" s="64"/>
      <c r="D345" s="97" t="s">
        <v>417</v>
      </c>
      <c r="E345" s="60" t="s">
        <v>249</v>
      </c>
    </row>
    <row r="346" spans="1:5" ht="16.5">
      <c r="A346" s="60">
        <v>9</v>
      </c>
      <c r="B346" s="96" t="s">
        <v>418</v>
      </c>
      <c r="C346" s="64"/>
      <c r="D346" s="97" t="s">
        <v>419</v>
      </c>
      <c r="E346" s="60" t="s">
        <v>249</v>
      </c>
    </row>
    <row r="347" spans="1:5" ht="49.5">
      <c r="A347" s="60">
        <v>10</v>
      </c>
      <c r="B347" s="96" t="s">
        <v>420</v>
      </c>
      <c r="C347" s="64"/>
      <c r="D347" s="97" t="s">
        <v>638</v>
      </c>
      <c r="E347" s="60" t="s">
        <v>249</v>
      </c>
    </row>
    <row r="348" spans="1:5" ht="49.5">
      <c r="A348" s="60">
        <v>11</v>
      </c>
      <c r="B348" s="96" t="s">
        <v>422</v>
      </c>
      <c r="C348" s="64"/>
      <c r="D348" s="97" t="s">
        <v>423</v>
      </c>
      <c r="E348" s="60" t="s">
        <v>424</v>
      </c>
    </row>
    <row r="349" spans="1:5" ht="33">
      <c r="A349" s="60">
        <v>12</v>
      </c>
      <c r="B349" s="102" t="s">
        <v>639</v>
      </c>
      <c r="D349" s="104" t="s">
        <v>249</v>
      </c>
      <c r="E349" s="60" t="s">
        <v>249</v>
      </c>
    </row>
    <row r="350" spans="1:5" ht="16.5">
      <c r="A350" s="95" t="s">
        <v>640</v>
      </c>
      <c r="B350" s="98" t="s">
        <v>641</v>
      </c>
      <c r="C350" s="60"/>
      <c r="D350" s="67"/>
      <c r="E350" s="40"/>
    </row>
    <row r="351" spans="1:5" ht="33">
      <c r="A351" s="95" t="s">
        <v>673</v>
      </c>
      <c r="B351" s="98" t="s">
        <v>674</v>
      </c>
      <c r="C351" s="105"/>
      <c r="D351" s="67"/>
      <c r="E351" s="40"/>
    </row>
    <row r="352" spans="1:5" ht="16.5">
      <c r="A352" s="60">
        <v>1</v>
      </c>
      <c r="B352" s="96" t="s">
        <v>675</v>
      </c>
      <c r="C352" s="64"/>
      <c r="D352" s="97" t="s">
        <v>676</v>
      </c>
      <c r="E352" s="60" t="s">
        <v>249</v>
      </c>
    </row>
    <row r="353" spans="1:5" ht="16.5">
      <c r="A353" s="60">
        <v>2</v>
      </c>
      <c r="B353" s="96" t="s">
        <v>677</v>
      </c>
      <c r="C353" s="64"/>
      <c r="D353" s="97" t="s">
        <v>678</v>
      </c>
      <c r="E353" s="60" t="s">
        <v>249</v>
      </c>
    </row>
    <row r="354" spans="1:5" ht="16.5">
      <c r="A354" s="157">
        <v>3</v>
      </c>
      <c r="B354" s="158" t="s">
        <v>432</v>
      </c>
      <c r="C354" s="64"/>
      <c r="D354" s="97" t="s">
        <v>679</v>
      </c>
      <c r="E354" s="60" t="s">
        <v>249</v>
      </c>
    </row>
    <row r="355" spans="1:5" ht="16.5">
      <c r="A355" s="157"/>
      <c r="B355" s="158"/>
      <c r="C355" s="64"/>
      <c r="D355" s="97" t="s">
        <v>680</v>
      </c>
      <c r="E355" s="60" t="s">
        <v>249</v>
      </c>
    </row>
    <row r="356" spans="1:5" ht="16.5">
      <c r="A356" s="157">
        <v>4</v>
      </c>
      <c r="B356" s="158" t="s">
        <v>681</v>
      </c>
      <c r="C356" s="64"/>
      <c r="D356" s="97" t="s">
        <v>665</v>
      </c>
      <c r="E356" s="60" t="s">
        <v>249</v>
      </c>
    </row>
    <row r="357" spans="1:5" ht="16.5">
      <c r="A357" s="157"/>
      <c r="B357" s="158"/>
      <c r="C357" s="64"/>
      <c r="D357" s="97" t="s">
        <v>666</v>
      </c>
      <c r="E357" s="60" t="s">
        <v>249</v>
      </c>
    </row>
    <row r="358" spans="1:5" ht="16.5">
      <c r="A358" s="60">
        <v>5</v>
      </c>
      <c r="B358" s="96" t="s">
        <v>682</v>
      </c>
      <c r="C358" s="64"/>
      <c r="D358" s="97" t="s">
        <v>683</v>
      </c>
      <c r="E358" s="60" t="s">
        <v>249</v>
      </c>
    </row>
    <row r="359" spans="1:5" ht="16.5">
      <c r="A359" s="60">
        <v>6</v>
      </c>
      <c r="B359" s="96" t="s">
        <v>684</v>
      </c>
      <c r="C359" s="64"/>
      <c r="D359" s="97" t="s">
        <v>683</v>
      </c>
      <c r="E359" s="60" t="s">
        <v>249</v>
      </c>
    </row>
    <row r="360" spans="1:5" ht="16.5">
      <c r="A360" s="60">
        <v>7</v>
      </c>
      <c r="B360" s="96" t="s">
        <v>685</v>
      </c>
      <c r="C360" s="64"/>
      <c r="D360" s="97" t="s">
        <v>686</v>
      </c>
      <c r="E360" s="60" t="s">
        <v>249</v>
      </c>
    </row>
    <row r="361" spans="1:5" ht="16.5">
      <c r="A361" s="60">
        <v>8</v>
      </c>
      <c r="B361" s="96" t="s">
        <v>687</v>
      </c>
      <c r="C361" s="64"/>
      <c r="D361" s="97" t="s">
        <v>688</v>
      </c>
      <c r="E361" s="60" t="s">
        <v>249</v>
      </c>
    </row>
    <row r="362" spans="1:5" ht="16.5">
      <c r="A362" s="95" t="s">
        <v>499</v>
      </c>
      <c r="B362" s="106" t="s">
        <v>689</v>
      </c>
      <c r="C362" s="107"/>
      <c r="D362" s="108"/>
      <c r="E362" s="40"/>
    </row>
    <row r="363" spans="1:5" ht="16.5">
      <c r="A363" s="60">
        <v>1</v>
      </c>
      <c r="B363" s="96" t="s">
        <v>690</v>
      </c>
      <c r="C363" s="64"/>
      <c r="D363" s="100" t="s">
        <v>691</v>
      </c>
      <c r="E363" s="60" t="s">
        <v>249</v>
      </c>
    </row>
    <row r="364" spans="1:5" ht="33">
      <c r="A364" s="157">
        <v>2</v>
      </c>
      <c r="B364" s="158" t="s">
        <v>692</v>
      </c>
      <c r="C364" s="64"/>
      <c r="D364" s="97" t="s">
        <v>693</v>
      </c>
      <c r="E364" s="60" t="s">
        <v>249</v>
      </c>
    </row>
    <row r="365" spans="1:5" ht="33">
      <c r="A365" s="157"/>
      <c r="B365" s="158"/>
      <c r="C365" s="64"/>
      <c r="D365" s="97" t="s">
        <v>694</v>
      </c>
      <c r="E365" s="60" t="s">
        <v>249</v>
      </c>
    </row>
    <row r="366" spans="1:5" ht="16.5">
      <c r="A366" s="60">
        <v>3</v>
      </c>
      <c r="B366" s="96" t="s">
        <v>695</v>
      </c>
      <c r="C366" s="64"/>
      <c r="D366" s="97" t="s">
        <v>696</v>
      </c>
      <c r="E366" s="60" t="s">
        <v>249</v>
      </c>
    </row>
    <row r="367" spans="1:5" ht="16.5">
      <c r="A367" s="60">
        <v>4</v>
      </c>
      <c r="B367" s="96" t="s">
        <v>697</v>
      </c>
      <c r="C367" s="64"/>
      <c r="D367" s="97" t="s">
        <v>698</v>
      </c>
      <c r="E367" s="60" t="s">
        <v>249</v>
      </c>
    </row>
    <row r="368" spans="1:5" ht="16.5">
      <c r="A368" s="157">
        <v>5</v>
      </c>
      <c r="B368" s="158" t="s">
        <v>432</v>
      </c>
      <c r="C368" s="64"/>
      <c r="D368" s="97" t="s">
        <v>679</v>
      </c>
      <c r="E368" s="60" t="s">
        <v>249</v>
      </c>
    </row>
    <row r="369" spans="1:5" ht="16.5">
      <c r="A369" s="157"/>
      <c r="B369" s="158"/>
      <c r="C369" s="64"/>
      <c r="D369" s="97" t="s">
        <v>680</v>
      </c>
      <c r="E369" s="60" t="s">
        <v>249</v>
      </c>
    </row>
    <row r="370" spans="1:5" ht="16.5">
      <c r="A370" s="157">
        <v>6</v>
      </c>
      <c r="B370" s="158" t="s">
        <v>564</v>
      </c>
      <c r="C370" s="64"/>
      <c r="D370" s="97" t="s">
        <v>665</v>
      </c>
      <c r="E370" s="60" t="s">
        <v>249</v>
      </c>
    </row>
    <row r="371" spans="1:5" ht="16.5">
      <c r="A371" s="157"/>
      <c r="B371" s="158"/>
      <c r="C371" s="64"/>
      <c r="D371" s="97" t="s">
        <v>666</v>
      </c>
      <c r="E371" s="60" t="s">
        <v>249</v>
      </c>
    </row>
    <row r="372" spans="1:5" ht="16.5">
      <c r="A372" s="60">
        <v>7</v>
      </c>
      <c r="B372" s="96" t="s">
        <v>699</v>
      </c>
      <c r="C372" s="64"/>
      <c r="D372" s="97" t="s">
        <v>700</v>
      </c>
      <c r="E372" s="60" t="s">
        <v>249</v>
      </c>
    </row>
    <row r="373" spans="1:5" ht="16.5">
      <c r="A373" s="60">
        <v>8</v>
      </c>
      <c r="B373" s="96" t="s">
        <v>701</v>
      </c>
      <c r="C373" s="64"/>
      <c r="D373" s="97" t="s">
        <v>414</v>
      </c>
      <c r="E373" s="60" t="s">
        <v>249</v>
      </c>
    </row>
    <row r="374" spans="1:5" ht="16.5">
      <c r="A374" s="60">
        <v>9</v>
      </c>
      <c r="B374" s="96" t="s">
        <v>702</v>
      </c>
      <c r="C374" s="64"/>
      <c r="D374" s="97" t="s">
        <v>703</v>
      </c>
      <c r="E374" s="60" t="s">
        <v>249</v>
      </c>
    </row>
    <row r="375" spans="1:5" ht="16.5">
      <c r="A375" s="95" t="s">
        <v>704</v>
      </c>
      <c r="B375" s="106" t="s">
        <v>705</v>
      </c>
      <c r="C375" s="107"/>
      <c r="D375" s="108"/>
      <c r="E375" s="40"/>
    </row>
    <row r="376" spans="1:5" ht="16.5">
      <c r="A376" s="60">
        <v>1</v>
      </c>
      <c r="B376" s="96" t="s">
        <v>690</v>
      </c>
      <c r="C376" s="64"/>
      <c r="D376" s="100" t="s">
        <v>691</v>
      </c>
      <c r="E376" s="60" t="s">
        <v>249</v>
      </c>
    </row>
    <row r="377" spans="1:5" ht="16.5">
      <c r="A377" s="60">
        <v>2</v>
      </c>
      <c r="B377" s="96" t="s">
        <v>695</v>
      </c>
      <c r="C377" s="64"/>
      <c r="D377" s="97" t="s">
        <v>696</v>
      </c>
      <c r="E377" s="60" t="s">
        <v>249</v>
      </c>
    </row>
    <row r="378" spans="1:5" ht="33">
      <c r="A378" s="157">
        <v>3</v>
      </c>
      <c r="B378" s="158" t="s">
        <v>692</v>
      </c>
      <c r="C378" s="64"/>
      <c r="D378" s="97" t="s">
        <v>706</v>
      </c>
      <c r="E378" s="60" t="s">
        <v>249</v>
      </c>
    </row>
    <row r="379" spans="1:5" ht="33">
      <c r="A379" s="157"/>
      <c r="B379" s="158"/>
      <c r="C379" s="64"/>
      <c r="D379" s="97" t="s">
        <v>694</v>
      </c>
      <c r="E379" s="60" t="s">
        <v>249</v>
      </c>
    </row>
    <row r="380" spans="1:5" ht="16.5">
      <c r="A380" s="160">
        <v>4</v>
      </c>
      <c r="B380" s="162" t="s">
        <v>432</v>
      </c>
      <c r="C380" s="64"/>
      <c r="D380" s="97" t="s">
        <v>679</v>
      </c>
      <c r="E380" s="60" t="s">
        <v>249</v>
      </c>
    </row>
    <row r="381" spans="1:5" ht="16.5">
      <c r="A381" s="161"/>
      <c r="B381" s="163"/>
      <c r="C381" s="64"/>
      <c r="D381" s="97" t="s">
        <v>680</v>
      </c>
      <c r="E381" s="60" t="s">
        <v>249</v>
      </c>
    </row>
    <row r="382" spans="1:5" ht="16.5">
      <c r="A382" s="157">
        <v>5</v>
      </c>
      <c r="B382" s="158" t="s">
        <v>564</v>
      </c>
      <c r="C382" s="64"/>
      <c r="D382" s="97" t="s">
        <v>665</v>
      </c>
      <c r="E382" s="60" t="s">
        <v>249</v>
      </c>
    </row>
    <row r="383" spans="1:5" ht="16.5">
      <c r="A383" s="157"/>
      <c r="B383" s="158"/>
      <c r="C383" s="64"/>
      <c r="D383" s="97" t="s">
        <v>666</v>
      </c>
      <c r="E383" s="60" t="s">
        <v>249</v>
      </c>
    </row>
    <row r="384" spans="1:5" ht="16.5">
      <c r="A384" s="60">
        <v>6</v>
      </c>
      <c r="B384" s="96" t="s">
        <v>707</v>
      </c>
      <c r="C384" s="64"/>
      <c r="D384" s="97" t="s">
        <v>703</v>
      </c>
      <c r="E384" s="60" t="s">
        <v>249</v>
      </c>
    </row>
    <row r="385" spans="1:5" ht="16.5">
      <c r="A385" s="60">
        <v>7</v>
      </c>
      <c r="B385" s="96" t="s">
        <v>699</v>
      </c>
      <c r="C385" s="64"/>
      <c r="D385" s="97" t="s">
        <v>700</v>
      </c>
      <c r="E385" s="60" t="s">
        <v>249</v>
      </c>
    </row>
    <row r="386" spans="1:5" ht="16.5">
      <c r="A386" s="60">
        <v>8</v>
      </c>
      <c r="B386" s="96" t="s">
        <v>701</v>
      </c>
      <c r="C386" s="64"/>
      <c r="D386" s="97" t="s">
        <v>708</v>
      </c>
      <c r="E386" s="60" t="s">
        <v>249</v>
      </c>
    </row>
    <row r="387" spans="1:5" ht="33">
      <c r="A387" s="95" t="s">
        <v>709</v>
      </c>
      <c r="B387" s="106" t="s">
        <v>710</v>
      </c>
      <c r="C387" s="107"/>
      <c r="D387" s="108"/>
      <c r="E387" s="40"/>
    </row>
    <row r="388" spans="1:5" ht="16.5">
      <c r="A388" s="60">
        <v>1</v>
      </c>
      <c r="B388" s="96" t="s">
        <v>711</v>
      </c>
      <c r="C388" s="64"/>
      <c r="D388" s="100" t="s">
        <v>712</v>
      </c>
      <c r="E388" s="60" t="s">
        <v>249</v>
      </c>
    </row>
    <row r="389" spans="1:5" ht="33">
      <c r="A389" s="60">
        <v>2</v>
      </c>
      <c r="B389" s="96" t="s">
        <v>713</v>
      </c>
      <c r="C389" s="64"/>
      <c r="D389" s="97" t="s">
        <v>714</v>
      </c>
      <c r="E389" s="60" t="s">
        <v>249</v>
      </c>
    </row>
    <row r="390" spans="1:5" ht="16.5">
      <c r="A390" s="60">
        <v>3</v>
      </c>
      <c r="B390" s="96" t="s">
        <v>695</v>
      </c>
      <c r="C390" s="64"/>
      <c r="D390" s="97" t="s">
        <v>715</v>
      </c>
      <c r="E390" s="60" t="s">
        <v>249</v>
      </c>
    </row>
    <row r="391" spans="1:5" ht="16.5">
      <c r="A391" s="157">
        <v>4</v>
      </c>
      <c r="B391" s="158" t="s">
        <v>662</v>
      </c>
      <c r="C391" s="64"/>
      <c r="D391" s="97" t="s">
        <v>679</v>
      </c>
      <c r="E391" s="60" t="s">
        <v>249</v>
      </c>
    </row>
    <row r="392" spans="1:5" ht="16.5">
      <c r="A392" s="157"/>
      <c r="B392" s="158"/>
      <c r="C392" s="64"/>
      <c r="D392" s="97" t="s">
        <v>680</v>
      </c>
      <c r="E392" s="60" t="s">
        <v>249</v>
      </c>
    </row>
    <row r="393" spans="1:5" ht="16.5">
      <c r="A393" s="157">
        <v>5</v>
      </c>
      <c r="B393" s="158" t="s">
        <v>564</v>
      </c>
      <c r="C393" s="64"/>
      <c r="D393" s="97" t="s">
        <v>665</v>
      </c>
      <c r="E393" s="60" t="s">
        <v>249</v>
      </c>
    </row>
    <row r="394" spans="1:5" ht="16.5">
      <c r="A394" s="157"/>
      <c r="B394" s="158"/>
      <c r="C394" s="64"/>
      <c r="D394" s="97" t="s">
        <v>666</v>
      </c>
      <c r="E394" s="60" t="s">
        <v>249</v>
      </c>
    </row>
    <row r="395" spans="1:5" ht="33">
      <c r="A395" s="95" t="s">
        <v>716</v>
      </c>
      <c r="B395" s="106" t="s">
        <v>717</v>
      </c>
      <c r="C395" s="107"/>
      <c r="D395" s="108"/>
      <c r="E395" s="40"/>
    </row>
    <row r="396" spans="1:5" ht="33">
      <c r="A396" s="60">
        <v>1</v>
      </c>
      <c r="B396" s="96" t="s">
        <v>718</v>
      </c>
      <c r="C396" s="64"/>
      <c r="D396" s="100" t="s">
        <v>414</v>
      </c>
      <c r="E396" s="60" t="s">
        <v>249</v>
      </c>
    </row>
    <row r="397" spans="1:5" ht="16.5">
      <c r="A397" s="60">
        <v>2</v>
      </c>
      <c r="B397" s="96" t="s">
        <v>719</v>
      </c>
      <c r="C397" s="64"/>
      <c r="D397" s="97" t="s">
        <v>414</v>
      </c>
      <c r="E397" s="60" t="s">
        <v>249</v>
      </c>
    </row>
    <row r="398" spans="1:5" ht="16.5">
      <c r="A398" s="157">
        <v>3</v>
      </c>
      <c r="B398" s="158" t="s">
        <v>662</v>
      </c>
      <c r="C398" s="64"/>
      <c r="D398" s="97" t="s">
        <v>679</v>
      </c>
      <c r="E398" s="60" t="s">
        <v>249</v>
      </c>
    </row>
    <row r="399" spans="1:5" ht="16.5">
      <c r="A399" s="157"/>
      <c r="B399" s="158"/>
      <c r="C399" s="64"/>
      <c r="D399" s="97" t="s">
        <v>680</v>
      </c>
      <c r="E399" s="60" t="s">
        <v>249</v>
      </c>
    </row>
    <row r="400" spans="1:5" ht="16.5">
      <c r="A400" s="157">
        <v>4</v>
      </c>
      <c r="B400" s="158" t="s">
        <v>564</v>
      </c>
      <c r="C400" s="64"/>
      <c r="D400" s="97" t="s">
        <v>665</v>
      </c>
      <c r="E400" s="60" t="s">
        <v>249</v>
      </c>
    </row>
    <row r="401" spans="1:5" ht="16.5">
      <c r="A401" s="160"/>
      <c r="B401" s="162"/>
      <c r="C401" s="109"/>
      <c r="D401" s="110" t="s">
        <v>666</v>
      </c>
      <c r="E401" s="111" t="s">
        <v>249</v>
      </c>
    </row>
    <row r="402" spans="1:5" ht="33">
      <c r="A402" s="95" t="s">
        <v>720</v>
      </c>
      <c r="B402" s="56" t="s">
        <v>721</v>
      </c>
      <c r="C402" s="64"/>
      <c r="D402" s="64"/>
      <c r="E402" s="73"/>
    </row>
    <row r="403" spans="1:5" ht="31.5">
      <c r="A403" s="40">
        <v>1</v>
      </c>
      <c r="B403" s="32" t="s">
        <v>722</v>
      </c>
      <c r="C403" s="40"/>
      <c r="D403" s="40" t="s">
        <v>242</v>
      </c>
      <c r="E403" s="40" t="s">
        <v>723</v>
      </c>
    </row>
    <row r="404" spans="1:5" ht="31.5">
      <c r="A404" s="40">
        <v>2</v>
      </c>
      <c r="B404" s="32" t="s">
        <v>245</v>
      </c>
      <c r="C404" s="40"/>
      <c r="D404" s="40" t="s">
        <v>724</v>
      </c>
      <c r="E404" s="40" t="s">
        <v>249</v>
      </c>
    </row>
    <row r="405" spans="1:5" ht="31.5">
      <c r="A405" s="40">
        <v>3</v>
      </c>
      <c r="B405" s="32" t="s">
        <v>244</v>
      </c>
      <c r="C405" s="40"/>
      <c r="D405" s="40" t="s">
        <v>485</v>
      </c>
      <c r="E405" s="40" t="s">
        <v>249</v>
      </c>
    </row>
    <row r="406" spans="1:5">
      <c r="A406" s="40">
        <v>4</v>
      </c>
      <c r="B406" s="32" t="s">
        <v>725</v>
      </c>
      <c r="C406" s="40"/>
      <c r="D406" s="40" t="s">
        <v>242</v>
      </c>
      <c r="E406" s="40" t="s">
        <v>726</v>
      </c>
    </row>
    <row r="407" spans="1:5" ht="31.5">
      <c r="A407" s="40">
        <v>5</v>
      </c>
      <c r="B407" s="32" t="s">
        <v>727</v>
      </c>
      <c r="C407" s="40"/>
      <c r="D407" s="40" t="s">
        <v>414</v>
      </c>
      <c r="E407" s="40" t="s">
        <v>249</v>
      </c>
    </row>
    <row r="408" spans="1:5" ht="63">
      <c r="A408" s="40">
        <v>6</v>
      </c>
      <c r="B408" s="32" t="s">
        <v>728</v>
      </c>
      <c r="C408" s="40"/>
      <c r="D408" s="40" t="s">
        <v>729</v>
      </c>
      <c r="E408" s="40" t="s">
        <v>249</v>
      </c>
    </row>
    <row r="409" spans="1:5" ht="33">
      <c r="A409" s="95" t="s">
        <v>730</v>
      </c>
      <c r="B409" s="63" t="s">
        <v>731</v>
      </c>
      <c r="C409" s="40"/>
      <c r="D409" s="40"/>
      <c r="E409" s="40"/>
    </row>
    <row r="410" spans="1:5" ht="31.5">
      <c r="A410" s="40">
        <v>1</v>
      </c>
      <c r="B410" s="32" t="s">
        <v>732</v>
      </c>
      <c r="C410" s="40"/>
      <c r="D410" s="40" t="s">
        <v>733</v>
      </c>
      <c r="E410" s="40" t="s">
        <v>734</v>
      </c>
    </row>
    <row r="411" spans="1:5" ht="47.25">
      <c r="A411" s="40">
        <v>2</v>
      </c>
      <c r="B411" s="32" t="s">
        <v>245</v>
      </c>
      <c r="C411" s="40"/>
      <c r="D411" s="40" t="s">
        <v>735</v>
      </c>
      <c r="E411" s="40" t="s">
        <v>249</v>
      </c>
    </row>
    <row r="412" spans="1:5" ht="31.5">
      <c r="A412" s="40">
        <v>3</v>
      </c>
      <c r="B412" s="32" t="s">
        <v>244</v>
      </c>
      <c r="C412" s="40"/>
      <c r="D412" s="40" t="s">
        <v>736</v>
      </c>
      <c r="E412" s="40" t="s">
        <v>249</v>
      </c>
    </row>
    <row r="413" spans="1:5">
      <c r="A413" s="40">
        <v>4</v>
      </c>
      <c r="B413" s="32" t="s">
        <v>737</v>
      </c>
      <c r="C413" s="40"/>
      <c r="D413" s="40" t="s">
        <v>733</v>
      </c>
      <c r="E413" s="40" t="s">
        <v>738</v>
      </c>
    </row>
    <row r="414" spans="1:5">
      <c r="A414" s="40">
        <v>5</v>
      </c>
      <c r="B414" s="32" t="s">
        <v>739</v>
      </c>
      <c r="C414" s="40"/>
      <c r="D414" s="40" t="s">
        <v>733</v>
      </c>
      <c r="E414" s="40" t="s">
        <v>740</v>
      </c>
    </row>
    <row r="415" spans="1:5">
      <c r="A415" s="40">
        <v>6</v>
      </c>
      <c r="B415" s="32" t="s">
        <v>741</v>
      </c>
      <c r="C415" s="40"/>
      <c r="D415" s="40" t="s">
        <v>742</v>
      </c>
      <c r="E415" s="40" t="s">
        <v>249</v>
      </c>
    </row>
    <row r="416" spans="1:5" ht="47.25">
      <c r="A416" s="40">
        <v>7</v>
      </c>
      <c r="B416" s="32" t="s">
        <v>728</v>
      </c>
      <c r="C416" s="40"/>
      <c r="D416" s="40" t="s">
        <v>743</v>
      </c>
      <c r="E416" s="40" t="s">
        <v>249</v>
      </c>
    </row>
    <row r="417" spans="1:5" ht="33">
      <c r="A417" s="95" t="s">
        <v>744</v>
      </c>
      <c r="B417" s="164" t="s">
        <v>745</v>
      </c>
      <c r="C417" s="133"/>
      <c r="D417" s="138"/>
      <c r="E417" s="40"/>
    </row>
    <row r="418" spans="1:5">
      <c r="A418" s="40">
        <v>1</v>
      </c>
      <c r="B418" s="32" t="s">
        <v>746</v>
      </c>
      <c r="C418" s="40"/>
      <c r="D418" s="40" t="s">
        <v>733</v>
      </c>
      <c r="E418" s="40" t="s">
        <v>747</v>
      </c>
    </row>
    <row r="419" spans="1:5">
      <c r="A419" s="40">
        <v>2</v>
      </c>
      <c r="B419" s="32" t="s">
        <v>245</v>
      </c>
      <c r="C419" s="40"/>
      <c r="D419" s="40" t="s">
        <v>748</v>
      </c>
      <c r="E419" s="40" t="s">
        <v>249</v>
      </c>
    </row>
    <row r="420" spans="1:5">
      <c r="A420" s="40">
        <v>3</v>
      </c>
      <c r="B420" s="32" t="s">
        <v>749</v>
      </c>
      <c r="C420" s="40"/>
      <c r="D420" s="40" t="s">
        <v>733</v>
      </c>
      <c r="E420" s="40" t="s">
        <v>726</v>
      </c>
    </row>
    <row r="421" spans="1:5">
      <c r="A421" s="40">
        <v>4</v>
      </c>
      <c r="B421" s="32" t="s">
        <v>750</v>
      </c>
      <c r="C421" s="40"/>
      <c r="D421" s="40" t="s">
        <v>733</v>
      </c>
      <c r="E421" s="40" t="s">
        <v>726</v>
      </c>
    </row>
    <row r="422" spans="1:5">
      <c r="A422" s="40">
        <v>5</v>
      </c>
      <c r="B422" s="32" t="s">
        <v>728</v>
      </c>
      <c r="C422" s="40"/>
      <c r="D422" s="40" t="s">
        <v>751</v>
      </c>
      <c r="E422" s="40" t="s">
        <v>249</v>
      </c>
    </row>
    <row r="423" spans="1:5" ht="33">
      <c r="A423" s="95" t="s">
        <v>752</v>
      </c>
      <c r="B423" s="137" t="s">
        <v>753</v>
      </c>
      <c r="C423" s="133"/>
      <c r="D423" s="138"/>
      <c r="E423" s="40"/>
    </row>
    <row r="424" spans="1:5">
      <c r="A424" s="40">
        <v>1</v>
      </c>
      <c r="B424" s="32" t="s">
        <v>658</v>
      </c>
      <c r="C424" s="40"/>
      <c r="D424" s="40" t="s">
        <v>733</v>
      </c>
      <c r="E424" s="40" t="s">
        <v>747</v>
      </c>
    </row>
    <row r="425" spans="1:5">
      <c r="A425" s="40">
        <v>2</v>
      </c>
      <c r="B425" s="32" t="s">
        <v>245</v>
      </c>
      <c r="C425" s="40"/>
      <c r="D425" s="40" t="s">
        <v>754</v>
      </c>
      <c r="E425" s="40" t="s">
        <v>249</v>
      </c>
    </row>
    <row r="426" spans="1:5" ht="47.25">
      <c r="A426" s="40">
        <v>3</v>
      </c>
      <c r="B426" s="32" t="s">
        <v>755</v>
      </c>
      <c r="C426" s="40"/>
      <c r="D426" s="40" t="s">
        <v>756</v>
      </c>
      <c r="E426" s="40" t="s">
        <v>249</v>
      </c>
    </row>
    <row r="427" spans="1:5">
      <c r="A427" s="40">
        <v>4</v>
      </c>
      <c r="B427" s="32" t="s">
        <v>728</v>
      </c>
      <c r="C427" s="40"/>
      <c r="D427" s="40" t="s">
        <v>754</v>
      </c>
      <c r="E427" s="40" t="s">
        <v>249</v>
      </c>
    </row>
  </sheetData>
  <mergeCells count="71">
    <mergeCell ref="A400:A401"/>
    <mergeCell ref="B400:B401"/>
    <mergeCell ref="B417:D417"/>
    <mergeCell ref="B423:D423"/>
    <mergeCell ref="A391:A392"/>
    <mergeCell ref="B391:B392"/>
    <mergeCell ref="A393:A394"/>
    <mergeCell ref="B393:B394"/>
    <mergeCell ref="A398:A399"/>
    <mergeCell ref="B398:B399"/>
    <mergeCell ref="A378:A379"/>
    <mergeCell ref="B378:B379"/>
    <mergeCell ref="A380:A381"/>
    <mergeCell ref="B380:B381"/>
    <mergeCell ref="A382:A383"/>
    <mergeCell ref="B382:B383"/>
    <mergeCell ref="A364:A365"/>
    <mergeCell ref="B364:B365"/>
    <mergeCell ref="A368:A369"/>
    <mergeCell ref="B368:B369"/>
    <mergeCell ref="A370:A371"/>
    <mergeCell ref="B370:B371"/>
    <mergeCell ref="B336:C336"/>
    <mergeCell ref="B337:C337"/>
    <mergeCell ref="A354:A355"/>
    <mergeCell ref="B354:B355"/>
    <mergeCell ref="A356:A357"/>
    <mergeCell ref="B356:B357"/>
    <mergeCell ref="B304:C304"/>
    <mergeCell ref="B305:C305"/>
    <mergeCell ref="A330:A331"/>
    <mergeCell ref="B330:B331"/>
    <mergeCell ref="A332:A333"/>
    <mergeCell ref="B332:B333"/>
    <mergeCell ref="A288:A295"/>
    <mergeCell ref="B288:B295"/>
    <mergeCell ref="A298:A299"/>
    <mergeCell ref="B298:B299"/>
    <mergeCell ref="A301:A302"/>
    <mergeCell ref="B301:B302"/>
    <mergeCell ref="A269:A271"/>
    <mergeCell ref="B269:B271"/>
    <mergeCell ref="A275:A276"/>
    <mergeCell ref="B275:B276"/>
    <mergeCell ref="A280:A287"/>
    <mergeCell ref="B280:B287"/>
    <mergeCell ref="A256:A258"/>
    <mergeCell ref="B256:B258"/>
    <mergeCell ref="C256:C258"/>
    <mergeCell ref="A261:A263"/>
    <mergeCell ref="B261:B263"/>
    <mergeCell ref="C261:C263"/>
    <mergeCell ref="B223:D223"/>
    <mergeCell ref="B8:D8"/>
    <mergeCell ref="D18:D19"/>
    <mergeCell ref="E18:E19"/>
    <mergeCell ref="B33:D33"/>
    <mergeCell ref="D44:D45"/>
    <mergeCell ref="E44:E45"/>
    <mergeCell ref="B59:D59"/>
    <mergeCell ref="B94:C94"/>
    <mergeCell ref="B142:D142"/>
    <mergeCell ref="B183:C183"/>
    <mergeCell ref="B216:D216"/>
    <mergeCell ref="A1:E1"/>
    <mergeCell ref="A2:E2"/>
    <mergeCell ref="A3:E3"/>
    <mergeCell ref="A4:E4"/>
    <mergeCell ref="A6:A7"/>
    <mergeCell ref="B6:D6"/>
    <mergeCell ref="E6:E7"/>
  </mergeCells>
  <pageMargins left="0.51181102362204722" right="0.11811023622047245" top="0.55118110236220474" bottom="0.55118110236220474" header="0.31496062992125984" footer="0.31496062992125984"/>
  <pageSetup paperSize="9" scale="85" orientation="portrait" r:id="rId1"/>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Scada_TTLL</vt:lpstr>
      <vt:lpstr>Thông số kỹ thuật</vt:lpstr>
      <vt:lpstr>Scada_TTLL!Print_Area</vt:lpstr>
      <vt:lpstr>'Thông số kỹ thuật'!Print_Area</vt:lpstr>
      <vt:lpstr>Scada_TTLL!Print_Titles</vt:lpstr>
      <vt:lpstr>'Thông số kỹ thuật'!Print_Titles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2025-03-28T02:44:09Z</dcterms:created>
  <dcterms:modified xsi:type="dcterms:W3CDTF">2026-07-30T10:03:02Z</dcterms:modified>
  <cp:category/>
</cp:coreProperties>
</file>