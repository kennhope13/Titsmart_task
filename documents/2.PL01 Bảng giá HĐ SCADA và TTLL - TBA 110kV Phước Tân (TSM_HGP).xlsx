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cada_TTLL" sheetId="1" r:id="rId1"/>
  </sheets>
  <definedNames>
    <definedName name="_xlnm._FilterDatabase" localSheetId="0" hidden="1">Scada_TTLL!$A$7:$L$40</definedName>
    <definedName name="_xlnm.Print_Area" localSheetId="0">Scada_TTLL!$A$1:$L$45</definedName>
    <definedName name="_xlnm.Print_Titles" localSheetId="0">Scada_TTLL!$6:$7</definedName>
  </definedNames>
  <calcPr calcId="15251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H40" i="1"/>
  <c r="H39" i="1"/>
  <c r="H38" i="1"/>
  <c r="J38" i="1" s="1"/>
  <c r="K38" i="1" s="1"/>
  <c r="H36" i="1"/>
  <c r="H35" i="1"/>
  <c r="J35" i="1" s="1"/>
  <c r="H34" i="1"/>
  <c r="J34" i="1" s="1"/>
  <c r="K34" i="1" s="1"/>
  <c r="H32" i="1"/>
  <c r="H31" i="1"/>
  <c r="J31" i="1" s="1"/>
  <c r="K31" i="1" s="1"/>
  <c r="H30" i="1"/>
  <c r="J30" i="1" s="1"/>
  <c r="K30" i="1" s="1"/>
  <c r="H28" i="1"/>
  <c r="H27" i="1"/>
  <c r="J27" i="1" s="1"/>
  <c r="K27" i="1" s="1"/>
  <c r="H26" i="1"/>
  <c r="J26" i="1" s="1"/>
  <c r="H25" i="1"/>
  <c r="H24" i="1"/>
  <c r="H23" i="1"/>
  <c r="J23" i="1" s="1"/>
  <c r="K23" i="1" s="1"/>
  <c r="H22" i="1"/>
  <c r="J22" i="1" s="1"/>
  <c r="K22" i="1" s="1"/>
  <c r="H19" i="1"/>
  <c r="J19" i="1" s="1"/>
  <c r="K19" i="1" s="1"/>
  <c r="H18" i="1"/>
  <c r="H17" i="1"/>
  <c r="J17" i="1" s="1"/>
  <c r="H16" i="1"/>
  <c r="H15" i="1"/>
  <c r="J15" i="1" s="1"/>
  <c r="K15" i="1" s="1"/>
  <c r="H14" i="1"/>
  <c r="J14" i="1" s="1"/>
  <c r="K14" i="1" s="1"/>
  <c r="H12" i="1"/>
  <c r="H11" i="1"/>
  <c r="J11" i="1" s="1"/>
  <c r="K11" i="1" s="1"/>
  <c r="J18" i="1" l="1"/>
  <c r="K18" i="1" s="1"/>
  <c r="K26" i="1"/>
  <c r="K35" i="1"/>
  <c r="J25" i="1"/>
  <c r="K25" i="1" s="1"/>
  <c r="J12" i="1"/>
  <c r="K12" i="1" s="1"/>
  <c r="K17" i="1"/>
  <c r="J28" i="1"/>
  <c r="K28" i="1" s="1"/>
  <c r="J36" i="1"/>
  <c r="K36" i="1" s="1"/>
  <c r="J39" i="1"/>
  <c r="K39" i="1" s="1"/>
  <c r="J16" i="1"/>
  <c r="K16" i="1" s="1"/>
  <c r="J24" i="1"/>
  <c r="K24" i="1" s="1"/>
  <c r="J32" i="1"/>
  <c r="K32" i="1" s="1"/>
  <c r="J40" i="1"/>
  <c r="K40" i="1" s="1"/>
  <c r="H10" i="1"/>
  <c r="J10" i="1" l="1"/>
  <c r="K10" i="1" s="1"/>
  <c r="K42" i="1" l="1"/>
  <c r="K43" i="1" l="1"/>
  <c r="K44" i="1" l="1"/>
</calcChain>
</file>

<file path=xl/sharedStrings.xml><?xml version="1.0" encoding="utf-8"?>
<sst xmlns="http://schemas.openxmlformats.org/spreadsheetml/2006/main" count="138" uniqueCount="98">
  <si>
    <t>Ghi chú</t>
  </si>
  <si>
    <t>Mã hiệu</t>
  </si>
  <si>
    <t>Nguồn sản xuất</t>
  </si>
  <si>
    <t>Đơn giá</t>
  </si>
  <si>
    <t>Stt</t>
  </si>
  <si>
    <t>Mô tả công việc mời thầu</t>
  </si>
  <si>
    <t xml:space="preserve">Đơn vị tính </t>
  </si>
  <si>
    <t>Khối lượng</t>
  </si>
  <si>
    <t>Thành tiền
trước thuế VAT</t>
  </si>
  <si>
    <t>Thuế VAT</t>
  </si>
  <si>
    <t>%</t>
  </si>
  <si>
    <t>Tiền thuế</t>
  </si>
  <si>
    <t>Tổng tiền</t>
  </si>
  <si>
    <t>PHỤ LỤC 01: BẢNG CHI TIẾT GIÁ TRỊ HỢP ĐỒNG</t>
  </si>
  <si>
    <t>Tổng giá trị trước thuế (VNĐ)</t>
  </si>
  <si>
    <t>Tổng giá trị sau thuế (VNĐ)</t>
  </si>
  <si>
    <t>Bộ</t>
  </si>
  <si>
    <t>DN</t>
  </si>
  <si>
    <t>bộ</t>
  </si>
  <si>
    <t>m</t>
  </si>
  <si>
    <t>sợi</t>
  </si>
  <si>
    <t>Postel/VN</t>
  </si>
  <si>
    <t>24FO</t>
  </si>
  <si>
    <t>Hạng mục: Cung cấp và thi công hoàn thiện hệ thống Thông tin liên lạc và SCADA - Trạm 110kV Phước Tân, tỉnh Đồng Nai</t>
  </si>
  <si>
    <t>Công trình: Trạm biến áp 110kV Phước Tân</t>
  </si>
  <si>
    <t>(Đính kèm theo Hợp đồng số: 040526/HĐXL/TSM-HGP ngày 04/05/2026)</t>
  </si>
  <si>
    <t>3.7</t>
  </si>
  <si>
    <t>HỆ THỐNG TTLL</t>
  </si>
  <si>
    <t>3.7.1</t>
  </si>
  <si>
    <t>Enthernet Switch layer 3 (dùng cho OT và IT )</t>
  </si>
  <si>
    <t>3.7.2</t>
  </si>
  <si>
    <t>Thiết bị Modul SFP</t>
  </si>
  <si>
    <t>3.7.3</t>
  </si>
  <si>
    <t>Thiết bị lọc IP, giới hạn truy cập IP Filter (Firewall)</t>
  </si>
  <si>
    <t>3.8</t>
  </si>
  <si>
    <t>HỆ THỐNG SCADA</t>
  </si>
  <si>
    <t>3.8.1</t>
  </si>
  <si>
    <t>Phần mềm máy tính Gateway và HMI</t>
  </si>
  <si>
    <t>3.8.2</t>
  </si>
  <si>
    <t>Máy tính Gateway</t>
  </si>
  <si>
    <t>3.8.3</t>
  </si>
  <si>
    <t>Tủ thiết bị Scada</t>
  </si>
  <si>
    <t>3.8.4</t>
  </si>
  <si>
    <t>Thiết bị đồng hồ GPS</t>
  </si>
  <si>
    <t>3.8.5</t>
  </si>
  <si>
    <t>Inverter 220VAC &amp; 110VDC 220VAC, 2000VA (power supply)</t>
  </si>
  <si>
    <t>3.8.6</t>
  </si>
  <si>
    <t>Thiết bị Erthernet switch</t>
  </si>
  <si>
    <t>4.19</t>
  </si>
  <si>
    <t>HỆ THỐNG TTLL TẠI TRẠM 110KV PHƯỚC TÂN</t>
  </si>
  <si>
    <t>4.19.1</t>
  </si>
  <si>
    <t>Tủ TTLL: - Rack 19 inch - Cấp bảo vệ ≥ IP.20 - Cửa trước, cửa trong, cửa sau, các mặt bên, khóa … - Bảng phân phối nguồn, cầu chì và &amp; ngăn, cáp …</t>
  </si>
  <si>
    <t>4.19.2</t>
  </si>
  <si>
    <t>Thiết bị phối dây quang ODF 1x48: - Bao gồm đầy đủ các phụ kiện, vật tư như ống gen nhiệt, dây nhảy pigtail, hộp nhựa gắn dây pigtail, kẹp......</t>
  </si>
  <si>
    <t>4.19.3</t>
  </si>
  <si>
    <t>Thiết bị nối dây quang Joint box 1x48: - Bao gồm đầy đủ các phụ kiện, vật tư như hộp nhựa đặt dây cáp quang - non-metalic, ống gen, ...</t>
  </si>
  <si>
    <t>4.19.4</t>
  </si>
  <si>
    <t>Cáp quang Non-metalic (48 sợi SM)</t>
  </si>
  <si>
    <t>4.19.5</t>
  </si>
  <si>
    <t>Thiết bị điện thoại Cisco IP phone - Loại: IP phone - Ethernet switch: Điện thoại kết nối Ethernet 10/100 Base-T thông qua 2 cổng RJ-45, một cho kết nối LAN và một cho kết nối thiết bị Ethernet như một máy tính.</t>
  </si>
  <si>
    <t>4.19.6</t>
  </si>
  <si>
    <t>Dây nhảy quang loại đầu nối SC/APC-LC/UPC- 01 sợi 20m.</t>
  </si>
  <si>
    <t>4.19.7</t>
  </si>
  <si>
    <t>Trọn bộ phụ kiện, dây dẫn….để lắp đặt hoàn thiện</t>
  </si>
  <si>
    <t>4.20</t>
  </si>
  <si>
    <t>HỆ THỐNG TTLL TẠI TRẠM 110KV GIANG ĐIỀN</t>
  </si>
  <si>
    <t>4.20.1</t>
  </si>
  <si>
    <t>Thiết bị Modul SFP (phù hợp với thiết bị SW hiện hữu tại trạm) - Bước sóng công tác: 1310nm or 1550nm - Cự ly truyền dẫn (tối đa): ≥ 40km - Giao diện điện: G703/120 Ohm. - Trọn bộ phụ kiện, phần mềm, cáp kết nối, đầu nối… - Lắp đặt: lắp đặt trên khe Switch.</t>
  </si>
  <si>
    <t>4.20.2</t>
  </si>
  <si>
    <t>4.20.3</t>
  </si>
  <si>
    <t>4.21</t>
  </si>
  <si>
    <t>HỆ THỐNG TTLL TẠI ĐỘI VHLĐ CAO THẾ ĐỒNG NAI</t>
  </si>
  <si>
    <t>4.21.1</t>
  </si>
  <si>
    <t>4.21.2</t>
  </si>
  <si>
    <t>4.21.3</t>
  </si>
  <si>
    <t>4.22</t>
  </si>
  <si>
    <t>4.22.1</t>
  </si>
  <si>
    <t>Màn hình LCD 21 kết nối và sử dụng cho máy tính Gateway và màn hình cho máy tính kỹ sư (bao gồm cả dây kết nối với máy tính)</t>
  </si>
  <si>
    <t>4.22.2</t>
  </si>
  <si>
    <t>4.22.3</t>
  </si>
  <si>
    <t>Tủ</t>
  </si>
  <si>
    <t>Sợi</t>
  </si>
  <si>
    <t>Trọn bộ</t>
  </si>
  <si>
    <t>T.bộ</t>
  </si>
  <si>
    <t>(Bằng chữ: Ba trăm hai mươi bốn triệu đồng chẵn./.)</t>
  </si>
  <si>
    <t>TSM/Việt Nam</t>
  </si>
  <si>
    <t>Advantech/Đài Loan</t>
  </si>
  <si>
    <t>IPC-7130</t>
  </si>
  <si>
    <t>TTLL</t>
  </si>
  <si>
    <t>Cisco/Việt Nam/Trung Quốc</t>
  </si>
  <si>
    <t>CP-7821-K9</t>
  </si>
  <si>
    <t>WT/Handar/Trung Quốc</t>
  </si>
  <si>
    <t>Asus/Trung Quốc</t>
  </si>
  <si>
    <t>VP227</t>
  </si>
  <si>
    <t>10G SFP+ SMF</t>
  </si>
  <si>
    <t>Máy tính kỹ sư/HMI</t>
  </si>
  <si>
    <r>
      <t xml:space="preserve">PHẦN VTTB </t>
    </r>
    <r>
      <rPr>
        <b/>
        <sz val="12"/>
        <color rgb="FFFF0000"/>
        <rFont val="Times New Roman"/>
        <family val="1"/>
      </rPr>
      <t>DO CHỦ ĐẦU TƯ CUNG CẤP</t>
    </r>
    <r>
      <rPr>
        <b/>
        <sz val="12"/>
        <color rgb="FF000000"/>
        <rFont val="Times New Roman"/>
        <family val="1"/>
      </rPr>
      <t xml:space="preserve"> (SPC MUA SẮM TẬP TRUNG), NHÀ THẦU VẬN CHUYỂN ĐẾN CHÂN CÔNG TRÌNH LẮP ĐẶT THEO HỒ SƠ THIẾT KẾ ĐƯỢC DUYỆT.</t>
    </r>
  </si>
  <si>
    <r>
      <t xml:space="preserve">PHẦN VTTB TBA 110kV: </t>
    </r>
    <r>
      <rPr>
        <b/>
        <sz val="12"/>
        <color rgb="FFFF0000"/>
        <rFont val="Times New Roman"/>
        <family val="1"/>
      </rPr>
      <t>DO NHÀ THẦU CUNG CẤP</t>
    </r>
    <r>
      <rPr>
        <b/>
        <sz val="12"/>
        <color rgb="FF000000"/>
        <rFont val="Times New Roman"/>
        <family val="1"/>
      </rPr>
      <t xml:space="preserve"> MUA MỚI VẬN CHUYỂN ĐẾN CHÂN CÔNG TRÌNH ĐƯỢC CHỦ ĐẦU TƯ NGHIỆM THU VÀ TRIỂN KHAI THI CÔNG LẮP ĐẶT HOÀN CHỈNH THEO HỒ SƠ THIẾT KẾ ĐƯỢC DUYỆT.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</si>
</sst>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_-* #,##0\ _₫_-;\-* #,##0\ _₫_-;_-* &quot;-&quot;??\ _₫_-;_-@_-"/>
    <numFmt numFmtId="168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i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i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i/>
      <sz val="13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5">
    <xf numFmtId="0" fontId="0" fillId="0" borderId="0"/>
    <xf numFmtId="166" fontId="7" fillId="0" borderId="0" applyFont="0" applyFill="0" applyBorder="0" applyAlignment="0" applyProtection="0"/>
    <xf numFmtId="0" fontId="9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8" fontId="0" fillId="0" borderId="0" xfId="3" applyNumberFormat="1" applyFont="1" applyAlignment="1">
      <alignment vertical="center"/>
    </xf>
    <xf numFmtId="0" fontId="11" fillId="0" borderId="0" xfId="0" applyFont="1" applyAlignment="1">
      <alignment vertical="center"/>
    </xf>
    <xf numFmtId="168" fontId="0" fillId="0" borderId="0" xfId="0" applyNumberFormat="1" applyAlignment="1">
      <alignment vertical="center"/>
    </xf>
    <xf numFmtId="168" fontId="11" fillId="0" borderId="0" xfId="3" applyNumberFormat="1" applyFont="1" applyAlignment="1">
      <alignment vertical="center"/>
    </xf>
    <xf numFmtId="168" fontId="11" fillId="0" borderId="0" xfId="3" applyNumberFormat="1" applyFont="1" applyAlignment="1">
      <alignment horizontal="center" vertical="center"/>
    </xf>
    <xf numFmtId="168" fontId="0" fillId="0" borderId="0" xfId="3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" fontId="15" fillId="2" borderId="0" xfId="0" applyNumberFormat="1" applyFont="1" applyFill="1" applyAlignment="1">
      <alignment vertical="center" wrapText="1"/>
    </xf>
    <xf numFmtId="3" fontId="15" fillId="2" borderId="0" xfId="0" applyNumberFormat="1" applyFont="1" applyFill="1" applyAlignment="1">
      <alignment vertical="center" wrapText="1"/>
    </xf>
    <xf numFmtId="3" fontId="0" fillId="0" borderId="0" xfId="0" applyNumberFormat="1" applyAlignment="1">
      <alignment vertical="center"/>
    </xf>
    <xf numFmtId="10" fontId="0" fillId="0" borderId="0" xfId="4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10" fontId="11" fillId="3" borderId="0" xfId="4" applyNumberFormat="1" applyFont="1" applyFill="1" applyAlignment="1">
      <alignment vertical="center"/>
    </xf>
    <xf numFmtId="168" fontId="0" fillId="3" borderId="0" xfId="3" applyNumberFormat="1" applyFont="1" applyFill="1" applyAlignment="1">
      <alignment vertical="center"/>
    </xf>
    <xf numFmtId="168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2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3" fontId="10" fillId="4" borderId="1" xfId="3" applyNumberFormat="1" applyFont="1" applyFill="1" applyBorder="1" applyAlignment="1">
      <alignment horizontal="right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4" fontId="15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3" fontId="10" fillId="4" borderId="1" xfId="3" applyNumberFormat="1" applyFont="1" applyFill="1" applyBorder="1" applyAlignment="1">
      <alignment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167" fontId="6" fillId="4" borderId="4" xfId="1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168" fontId="6" fillId="4" borderId="4" xfId="3" applyNumberFormat="1" applyFont="1" applyFill="1" applyBorder="1" applyAlignment="1">
      <alignment horizontal="right" vertical="center"/>
    </xf>
    <xf numFmtId="168" fontId="6" fillId="4" borderId="4" xfId="3" applyNumberFormat="1" applyFont="1" applyFill="1" applyBorder="1" applyAlignment="1">
      <alignment horizontal="left" vertical="center"/>
    </xf>
    <xf numFmtId="9" fontId="6" fillId="4" borderId="4" xfId="4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 wrapText="1"/>
    </xf>
    <xf numFmtId="167" fontId="10" fillId="0" borderId="2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165" fontId="2" fillId="0" borderId="3" xfId="3" applyFont="1" applyFill="1" applyBorder="1" applyAlignment="1">
      <alignment horizontal="center" vertical="center"/>
    </xf>
    <xf numFmtId="167" fontId="10" fillId="0" borderId="3" xfId="1" applyNumberFormat="1" applyFont="1" applyFill="1" applyBorder="1" applyAlignment="1">
      <alignment horizontal="center" vertical="center"/>
    </xf>
    <xf numFmtId="168" fontId="10" fillId="0" borderId="3" xfId="3" applyNumberFormat="1" applyFont="1" applyFill="1" applyBorder="1" applyAlignment="1">
      <alignment horizontal="right" vertical="center"/>
    </xf>
    <xf numFmtId="168" fontId="10" fillId="0" borderId="3" xfId="3" applyNumberFormat="1" applyFont="1" applyFill="1" applyBorder="1" applyAlignment="1">
      <alignment horizontal="left" vertical="center"/>
    </xf>
    <xf numFmtId="167" fontId="10" fillId="0" borderId="3" xfId="1" applyNumberFormat="1" applyFont="1" applyFill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165" fontId="2" fillId="0" borderId="5" xfId="3" applyFont="1" applyFill="1" applyBorder="1" applyAlignment="1">
      <alignment horizontal="center" vertical="center"/>
    </xf>
    <xf numFmtId="167" fontId="10" fillId="0" borderId="5" xfId="1" applyNumberFormat="1" applyFont="1" applyFill="1" applyBorder="1" applyAlignment="1">
      <alignment horizontal="center" vertical="center"/>
    </xf>
    <xf numFmtId="168" fontId="10" fillId="0" borderId="5" xfId="3" applyNumberFormat="1" applyFont="1" applyFill="1" applyBorder="1" applyAlignment="1">
      <alignment horizontal="right" vertical="center"/>
    </xf>
    <xf numFmtId="168" fontId="10" fillId="0" borderId="5" xfId="3" applyNumberFormat="1" applyFont="1" applyFill="1" applyBorder="1" applyAlignment="1">
      <alignment horizontal="left" vertical="center"/>
    </xf>
    <xf numFmtId="9" fontId="10" fillId="0" borderId="2" xfId="4" applyFont="1" applyFill="1" applyBorder="1" applyAlignment="1">
      <alignment horizontal="center" vertical="center"/>
    </xf>
    <xf numFmtId="168" fontId="10" fillId="0" borderId="2" xfId="3" applyNumberFormat="1" applyFont="1" applyFill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165" fontId="3" fillId="0" borderId="5" xfId="3" applyFont="1" applyFill="1" applyBorder="1" applyAlignment="1">
      <alignment horizontal="center" vertical="center"/>
    </xf>
    <xf numFmtId="167" fontId="6" fillId="0" borderId="5" xfId="1" applyNumberFormat="1" applyFont="1" applyFill="1" applyBorder="1" applyAlignment="1">
      <alignment horizontal="center" vertical="center"/>
    </xf>
    <xf numFmtId="168" fontId="6" fillId="0" borderId="5" xfId="3" applyNumberFormat="1" applyFont="1" applyFill="1" applyBorder="1" applyAlignment="1">
      <alignment horizontal="right" vertical="center"/>
    </xf>
    <xf numFmtId="168" fontId="6" fillId="0" borderId="5" xfId="3" applyNumberFormat="1" applyFont="1" applyFill="1" applyBorder="1" applyAlignment="1">
      <alignment horizontal="left" vertical="center"/>
    </xf>
    <xf numFmtId="9" fontId="6" fillId="0" borderId="2" xfId="4" applyFont="1" applyFill="1" applyBorder="1" applyAlignment="1">
      <alignment horizontal="center" vertical="center"/>
    </xf>
    <xf numFmtId="168" fontId="6" fillId="0" borderId="2" xfId="3" applyNumberFormat="1" applyFont="1" applyFill="1" applyBorder="1" applyAlignment="1">
      <alignment horizontal="right" vertical="center"/>
    </xf>
    <xf numFmtId="0" fontId="0" fillId="0" borderId="5" xfId="0" applyBorder="1" applyAlignment="1">
      <alignment vertical="center"/>
    </xf>
    <xf numFmtId="167" fontId="6" fillId="0" borderId="5" xfId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4" fontId="11" fillId="0" borderId="0" xfId="0" applyNumberFormat="1" applyFont="1" applyAlignment="1">
      <alignment vertical="center"/>
    </xf>
    <xf numFmtId="4" fontId="10" fillId="4" borderId="1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5">
    <cellStyle name="Comma" xfId="3" builtinId="3"/>
    <cellStyle name="Comma 2" xfId="1"/>
    <cellStyle name="Normal" xfId="0" builtinId="0"/>
    <cellStyle name="Normal 2" xfId="2"/>
    <cellStyle name="Percent" xfId="4" builtinId="5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2"/>
  <sheetViews>
    <sheetView tabSelected="1" view="pageBreakPreview" zoomScale="85" zoomScaleNormal="85" zoomScaleSheetLayoutView="85" workbookViewId="0">
      <pane xSplit="4" ySplit="7" topLeftCell="E44" activePane="bottomRight" state="frozen"/>
      <selection pane="topRight" activeCell="E1" sqref="E1"/>
      <selection pane="bottomLeft" activeCell="A8" sqref="A8"/>
      <selection pane="bottomRight" activeCell="B25" sqref="B25"/>
    </sheetView>
  </sheetViews>
  <sheetFormatPr defaultColWidth="8.88671875" defaultRowHeight="14.4" x14ac:dyDescent="0.3"/>
  <cols>
    <col min="1" max="1" width="9.44140625" style="1" customWidth="1"/>
    <col min="2" max="2" width="60.33203125" style="2" customWidth="1"/>
    <col min="3" max="3" width="11.33203125" style="15" customWidth="1"/>
    <col min="4" max="4" width="12.44140625" style="3" customWidth="1"/>
    <col min="5" max="5" width="18.109375" style="3" bestFit="1" customWidth="1"/>
    <col min="6" max="6" width="22.6640625" style="3" bestFit="1" customWidth="1"/>
    <col min="7" max="7" width="16.6640625" style="19" bestFit="1" customWidth="1"/>
    <col min="8" max="8" width="17.88671875" style="1" bestFit="1" customWidth="1"/>
    <col min="9" max="9" width="9.44140625" style="1" customWidth="1"/>
    <col min="10" max="10" width="16.44140625" style="1" bestFit="1" customWidth="1"/>
    <col min="11" max="11" width="18.109375" style="1" customWidth="1"/>
    <col min="12" max="12" width="15.6640625" style="1" customWidth="1"/>
    <col min="13" max="13" width="11.6640625" style="66" bestFit="1" customWidth="1"/>
    <col min="14" max="16384" width="8.88671875" style="1"/>
  </cols>
  <sheetData>
    <row r="1" spans="1:13" ht="24.75" customHeight="1" x14ac:dyDescent="0.3">
      <c r="A1" s="72" t="s">
        <v>13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3" ht="24.75" customHeight="1" x14ac:dyDescent="0.3">
      <c r="A2" s="73" t="s">
        <v>24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3" ht="24.75" customHeight="1" x14ac:dyDescent="0.3">
      <c r="A3" s="73" t="s">
        <v>23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3" ht="24.75" customHeight="1" x14ac:dyDescent="0.3">
      <c r="A4" s="74" t="s">
        <v>25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3" ht="7.5" customHeight="1" x14ac:dyDescent="0.3">
      <c r="A5" s="20"/>
      <c r="B5" s="20"/>
      <c r="C5" s="20"/>
      <c r="D5" s="20"/>
      <c r="E5" s="21"/>
      <c r="F5" s="21"/>
      <c r="G5" s="21"/>
      <c r="H5" s="21"/>
      <c r="I5" s="21"/>
      <c r="J5" s="21"/>
      <c r="K5" s="21"/>
      <c r="L5" s="22"/>
    </row>
    <row r="6" spans="1:13" ht="27" customHeight="1" x14ac:dyDescent="0.3">
      <c r="A6" s="70" t="s">
        <v>4</v>
      </c>
      <c r="B6" s="70" t="s">
        <v>5</v>
      </c>
      <c r="C6" s="70" t="s">
        <v>7</v>
      </c>
      <c r="D6" s="70" t="s">
        <v>6</v>
      </c>
      <c r="E6" s="70" t="s">
        <v>1</v>
      </c>
      <c r="F6" s="70" t="s">
        <v>2</v>
      </c>
      <c r="G6" s="70" t="s">
        <v>3</v>
      </c>
      <c r="H6" s="70" t="s">
        <v>8</v>
      </c>
      <c r="I6" s="70" t="s">
        <v>9</v>
      </c>
      <c r="J6" s="70"/>
      <c r="K6" s="70" t="s">
        <v>12</v>
      </c>
      <c r="L6" s="71" t="s">
        <v>0</v>
      </c>
    </row>
    <row r="7" spans="1:13" ht="31.5" customHeight="1" x14ac:dyDescent="0.3">
      <c r="A7" s="70"/>
      <c r="B7" s="70"/>
      <c r="C7" s="70"/>
      <c r="D7" s="70"/>
      <c r="E7" s="70"/>
      <c r="F7" s="70"/>
      <c r="G7" s="70"/>
      <c r="H7" s="70"/>
      <c r="I7" s="38" t="s">
        <v>10</v>
      </c>
      <c r="J7" s="38" t="s">
        <v>11</v>
      </c>
      <c r="K7" s="70"/>
      <c r="L7" s="71"/>
    </row>
    <row r="8" spans="1:13" s="5" customFormat="1" ht="62.4" x14ac:dyDescent="0.3">
      <c r="A8" s="39">
        <v>3</v>
      </c>
      <c r="B8" s="40" t="s">
        <v>96</v>
      </c>
      <c r="C8" s="41"/>
      <c r="D8" s="39"/>
      <c r="E8" s="42"/>
      <c r="F8" s="42"/>
      <c r="G8" s="43"/>
      <c r="H8" s="44"/>
      <c r="I8" s="45"/>
      <c r="J8" s="43"/>
      <c r="K8" s="43"/>
      <c r="L8" s="46"/>
      <c r="M8" s="67"/>
    </row>
    <row r="9" spans="1:13" ht="15.6" x14ac:dyDescent="0.3">
      <c r="A9" s="47" t="s">
        <v>26</v>
      </c>
      <c r="B9" s="48" t="s">
        <v>27</v>
      </c>
      <c r="C9" s="49"/>
      <c r="D9" s="47"/>
      <c r="E9" s="50"/>
      <c r="F9" s="50"/>
      <c r="G9" s="51"/>
      <c r="H9" s="52"/>
      <c r="I9" s="53"/>
      <c r="J9" s="54"/>
      <c r="K9" s="54"/>
      <c r="L9" s="55"/>
    </row>
    <row r="10" spans="1:13" ht="15.6" x14ac:dyDescent="0.3">
      <c r="A10" s="56" t="s">
        <v>28</v>
      </c>
      <c r="B10" s="57" t="s">
        <v>29</v>
      </c>
      <c r="C10" s="58">
        <v>4</v>
      </c>
      <c r="D10" s="56" t="s">
        <v>83</v>
      </c>
      <c r="E10" s="59"/>
      <c r="F10" s="59"/>
      <c r="G10" s="60">
        <v>2000000</v>
      </c>
      <c r="H10" s="61">
        <f t="shared" ref="H10" si="0">G10*C10</f>
        <v>8000000</v>
      </c>
      <c r="I10" s="62">
        <v>0.08</v>
      </c>
      <c r="J10" s="63">
        <f t="shared" ref="J10" si="1">I10*H10</f>
        <v>640000</v>
      </c>
      <c r="K10" s="63">
        <f t="shared" ref="K10" si="2">+H10+J10</f>
        <v>8640000</v>
      </c>
      <c r="L10" s="64"/>
    </row>
    <row r="11" spans="1:13" ht="15.6" x14ac:dyDescent="0.3">
      <c r="A11" s="56" t="s">
        <v>30</v>
      </c>
      <c r="B11" s="57" t="s">
        <v>31</v>
      </c>
      <c r="C11" s="58">
        <v>4</v>
      </c>
      <c r="D11" s="56" t="s">
        <v>83</v>
      </c>
      <c r="E11" s="59"/>
      <c r="F11" s="59"/>
      <c r="G11" s="60">
        <v>500000</v>
      </c>
      <c r="H11" s="61">
        <f t="shared" ref="H11:H40" si="3">G11*C11</f>
        <v>2000000</v>
      </c>
      <c r="I11" s="62">
        <v>0.08</v>
      </c>
      <c r="J11" s="63">
        <f t="shared" ref="J11:J40" si="4">I11*H11</f>
        <v>160000</v>
      </c>
      <c r="K11" s="63">
        <f t="shared" ref="K11:K40" si="5">+H11+J11</f>
        <v>2160000</v>
      </c>
      <c r="L11" s="64"/>
    </row>
    <row r="12" spans="1:13" ht="15.6" x14ac:dyDescent="0.3">
      <c r="A12" s="56" t="s">
        <v>32</v>
      </c>
      <c r="B12" s="57" t="s">
        <v>33</v>
      </c>
      <c r="C12" s="58">
        <v>2</v>
      </c>
      <c r="D12" s="56" t="s">
        <v>83</v>
      </c>
      <c r="E12" s="59"/>
      <c r="F12" s="59"/>
      <c r="G12" s="60">
        <v>1000000</v>
      </c>
      <c r="H12" s="61">
        <f t="shared" si="3"/>
        <v>2000000</v>
      </c>
      <c r="I12" s="62">
        <v>0.08</v>
      </c>
      <c r="J12" s="63">
        <f t="shared" si="4"/>
        <v>160000</v>
      </c>
      <c r="K12" s="63">
        <f t="shared" si="5"/>
        <v>2160000</v>
      </c>
      <c r="L12" s="64"/>
    </row>
    <row r="13" spans="1:13" ht="15.6" x14ac:dyDescent="0.3">
      <c r="A13" s="47" t="s">
        <v>34</v>
      </c>
      <c r="B13" s="48" t="s">
        <v>35</v>
      </c>
      <c r="C13" s="49"/>
      <c r="D13" s="47"/>
      <c r="E13" s="50"/>
      <c r="F13" s="50"/>
      <c r="G13" s="51"/>
      <c r="H13" s="52"/>
      <c r="I13" s="53"/>
      <c r="J13" s="54"/>
      <c r="K13" s="54"/>
      <c r="L13" s="55"/>
    </row>
    <row r="14" spans="1:13" ht="15.6" x14ac:dyDescent="0.3">
      <c r="A14" s="56" t="s">
        <v>36</v>
      </c>
      <c r="B14" s="57" t="s">
        <v>37</v>
      </c>
      <c r="C14" s="58">
        <v>1</v>
      </c>
      <c r="D14" s="56" t="s">
        <v>18</v>
      </c>
      <c r="E14" s="59"/>
      <c r="F14" s="59"/>
      <c r="G14" s="60">
        <v>1000000</v>
      </c>
      <c r="H14" s="61">
        <f t="shared" si="3"/>
        <v>1000000</v>
      </c>
      <c r="I14" s="62">
        <v>0.08</v>
      </c>
      <c r="J14" s="63">
        <f t="shared" si="4"/>
        <v>80000</v>
      </c>
      <c r="K14" s="63">
        <f t="shared" si="5"/>
        <v>1080000</v>
      </c>
      <c r="L14" s="64"/>
    </row>
    <row r="15" spans="1:13" ht="15.6" x14ac:dyDescent="0.3">
      <c r="A15" s="56" t="s">
        <v>38</v>
      </c>
      <c r="B15" s="57" t="s">
        <v>39</v>
      </c>
      <c r="C15" s="58">
        <v>1</v>
      </c>
      <c r="D15" s="56" t="s">
        <v>18</v>
      </c>
      <c r="E15" s="59"/>
      <c r="F15" s="59"/>
      <c r="G15" s="60">
        <v>1000000</v>
      </c>
      <c r="H15" s="61">
        <f t="shared" si="3"/>
        <v>1000000</v>
      </c>
      <c r="I15" s="62">
        <v>0.08</v>
      </c>
      <c r="J15" s="63">
        <f t="shared" si="4"/>
        <v>80000</v>
      </c>
      <c r="K15" s="63">
        <f t="shared" si="5"/>
        <v>1080000</v>
      </c>
      <c r="L15" s="64"/>
    </row>
    <row r="16" spans="1:13" s="5" customFormat="1" ht="15.6" x14ac:dyDescent="0.3">
      <c r="A16" s="56" t="s">
        <v>40</v>
      </c>
      <c r="B16" s="57" t="s">
        <v>41</v>
      </c>
      <c r="C16" s="58">
        <v>1</v>
      </c>
      <c r="D16" s="56" t="s">
        <v>80</v>
      </c>
      <c r="E16" s="50"/>
      <c r="F16" s="50"/>
      <c r="G16" s="60">
        <v>20000000</v>
      </c>
      <c r="H16" s="61">
        <f t="shared" si="3"/>
        <v>20000000</v>
      </c>
      <c r="I16" s="62">
        <v>0.08</v>
      </c>
      <c r="J16" s="63">
        <f t="shared" si="4"/>
        <v>1600000</v>
      </c>
      <c r="K16" s="63">
        <f t="shared" si="5"/>
        <v>21600000</v>
      </c>
      <c r="L16" s="55"/>
      <c r="M16" s="67"/>
    </row>
    <row r="17" spans="1:13" ht="15.6" x14ac:dyDescent="0.3">
      <c r="A17" s="56" t="s">
        <v>42</v>
      </c>
      <c r="B17" s="57" t="s">
        <v>43</v>
      </c>
      <c r="C17" s="58">
        <v>1</v>
      </c>
      <c r="D17" s="56" t="s">
        <v>18</v>
      </c>
      <c r="E17" s="59"/>
      <c r="F17" s="59"/>
      <c r="G17" s="60">
        <v>3000000</v>
      </c>
      <c r="H17" s="61">
        <f t="shared" si="3"/>
        <v>3000000</v>
      </c>
      <c r="I17" s="62">
        <v>0.08</v>
      </c>
      <c r="J17" s="63">
        <f t="shared" si="4"/>
        <v>240000</v>
      </c>
      <c r="K17" s="63">
        <f t="shared" si="5"/>
        <v>3240000</v>
      </c>
      <c r="L17" s="64"/>
    </row>
    <row r="18" spans="1:13" ht="31.2" x14ac:dyDescent="0.3">
      <c r="A18" s="56" t="s">
        <v>44</v>
      </c>
      <c r="B18" s="57" t="s">
        <v>45</v>
      </c>
      <c r="C18" s="58">
        <v>1</v>
      </c>
      <c r="D18" s="56" t="s">
        <v>16</v>
      </c>
      <c r="E18" s="59"/>
      <c r="F18" s="59"/>
      <c r="G18" s="60">
        <v>2000000</v>
      </c>
      <c r="H18" s="61">
        <f t="shared" si="3"/>
        <v>2000000</v>
      </c>
      <c r="I18" s="62">
        <v>0.08</v>
      </c>
      <c r="J18" s="63">
        <f t="shared" si="4"/>
        <v>160000</v>
      </c>
      <c r="K18" s="63">
        <f t="shared" si="5"/>
        <v>2160000</v>
      </c>
      <c r="L18" s="64"/>
    </row>
    <row r="19" spans="1:13" ht="15.6" x14ac:dyDescent="0.3">
      <c r="A19" s="56" t="s">
        <v>46</v>
      </c>
      <c r="B19" s="57" t="s">
        <v>47</v>
      </c>
      <c r="C19" s="58">
        <v>2</v>
      </c>
      <c r="D19" s="56" t="s">
        <v>16</v>
      </c>
      <c r="E19" s="59"/>
      <c r="F19" s="59"/>
      <c r="G19" s="60">
        <v>2000000</v>
      </c>
      <c r="H19" s="61">
        <f t="shared" si="3"/>
        <v>4000000</v>
      </c>
      <c r="I19" s="62">
        <v>0.08</v>
      </c>
      <c r="J19" s="63">
        <f t="shared" si="4"/>
        <v>320000</v>
      </c>
      <c r="K19" s="63">
        <f t="shared" si="5"/>
        <v>4320000</v>
      </c>
      <c r="L19" s="64"/>
    </row>
    <row r="20" spans="1:13" ht="78" x14ac:dyDescent="0.3">
      <c r="A20" s="47">
        <v>4</v>
      </c>
      <c r="B20" s="48" t="s">
        <v>97</v>
      </c>
      <c r="C20" s="49"/>
      <c r="D20" s="47"/>
      <c r="E20" s="50"/>
      <c r="F20" s="50"/>
      <c r="G20" s="51"/>
      <c r="H20" s="52"/>
      <c r="I20" s="53"/>
      <c r="J20" s="54"/>
      <c r="K20" s="54"/>
      <c r="L20" s="55"/>
    </row>
    <row r="21" spans="1:13" ht="15.6" x14ac:dyDescent="0.3">
      <c r="A21" s="47" t="s">
        <v>48</v>
      </c>
      <c r="B21" s="48" t="s">
        <v>49</v>
      </c>
      <c r="C21" s="49"/>
      <c r="D21" s="47"/>
      <c r="E21" s="50"/>
      <c r="F21" s="50"/>
      <c r="G21" s="51"/>
      <c r="H21" s="52"/>
      <c r="I21" s="53"/>
      <c r="J21" s="54"/>
      <c r="K21" s="54"/>
      <c r="L21" s="55"/>
    </row>
    <row r="22" spans="1:13" ht="46.8" x14ac:dyDescent="0.3">
      <c r="A22" s="56" t="s">
        <v>50</v>
      </c>
      <c r="B22" s="57" t="s">
        <v>51</v>
      </c>
      <c r="C22" s="58">
        <v>1</v>
      </c>
      <c r="D22" s="56" t="s">
        <v>80</v>
      </c>
      <c r="E22" s="59" t="s">
        <v>88</v>
      </c>
      <c r="F22" s="59" t="s">
        <v>85</v>
      </c>
      <c r="G22" s="60">
        <v>40000000</v>
      </c>
      <c r="H22" s="61">
        <f t="shared" si="3"/>
        <v>40000000</v>
      </c>
      <c r="I22" s="62">
        <v>0.08</v>
      </c>
      <c r="J22" s="63">
        <f t="shared" si="4"/>
        <v>3200000</v>
      </c>
      <c r="K22" s="63">
        <f t="shared" si="5"/>
        <v>43200000</v>
      </c>
      <c r="L22" s="64"/>
    </row>
    <row r="23" spans="1:13" ht="46.8" x14ac:dyDescent="0.3">
      <c r="A23" s="56" t="s">
        <v>52</v>
      </c>
      <c r="B23" s="57" t="s">
        <v>53</v>
      </c>
      <c r="C23" s="58">
        <v>2</v>
      </c>
      <c r="D23" s="56" t="s">
        <v>16</v>
      </c>
      <c r="E23" s="59" t="s">
        <v>17</v>
      </c>
      <c r="F23" s="59" t="s">
        <v>85</v>
      </c>
      <c r="G23" s="60">
        <v>6500000</v>
      </c>
      <c r="H23" s="61">
        <f t="shared" si="3"/>
        <v>13000000</v>
      </c>
      <c r="I23" s="62">
        <v>0.08</v>
      </c>
      <c r="J23" s="63">
        <f t="shared" si="4"/>
        <v>1040000</v>
      </c>
      <c r="K23" s="63">
        <f t="shared" si="5"/>
        <v>14040000</v>
      </c>
      <c r="L23" s="64"/>
    </row>
    <row r="24" spans="1:13" s="5" customFormat="1" ht="46.8" x14ac:dyDescent="0.3">
      <c r="A24" s="56" t="s">
        <v>54</v>
      </c>
      <c r="B24" s="57" t="s">
        <v>55</v>
      </c>
      <c r="C24" s="58">
        <v>2</v>
      </c>
      <c r="D24" s="56" t="s">
        <v>16</v>
      </c>
      <c r="E24" s="59" t="s">
        <v>17</v>
      </c>
      <c r="F24" s="59" t="s">
        <v>85</v>
      </c>
      <c r="G24" s="60">
        <v>10000000</v>
      </c>
      <c r="H24" s="61">
        <f t="shared" si="3"/>
        <v>20000000</v>
      </c>
      <c r="I24" s="62">
        <v>0.08</v>
      </c>
      <c r="J24" s="63">
        <f t="shared" si="4"/>
        <v>1600000</v>
      </c>
      <c r="K24" s="63">
        <f t="shared" si="5"/>
        <v>21600000</v>
      </c>
      <c r="L24" s="55"/>
      <c r="M24" s="67"/>
    </row>
    <row r="25" spans="1:13" ht="15.6" x14ac:dyDescent="0.3">
      <c r="A25" s="56" t="s">
        <v>56</v>
      </c>
      <c r="B25" s="57" t="s">
        <v>57</v>
      </c>
      <c r="C25" s="58">
        <v>300</v>
      </c>
      <c r="D25" s="56" t="s">
        <v>19</v>
      </c>
      <c r="E25" s="59" t="s">
        <v>22</v>
      </c>
      <c r="F25" s="59" t="s">
        <v>21</v>
      </c>
      <c r="G25" s="60">
        <v>35000</v>
      </c>
      <c r="H25" s="61">
        <f t="shared" si="3"/>
        <v>10500000</v>
      </c>
      <c r="I25" s="62">
        <v>0.08</v>
      </c>
      <c r="J25" s="63">
        <f t="shared" si="4"/>
        <v>840000</v>
      </c>
      <c r="K25" s="63">
        <f t="shared" si="5"/>
        <v>11340000</v>
      </c>
      <c r="L25" s="64"/>
    </row>
    <row r="26" spans="1:13" ht="62.4" x14ac:dyDescent="0.3">
      <c r="A26" s="56" t="s">
        <v>58</v>
      </c>
      <c r="B26" s="57" t="s">
        <v>59</v>
      </c>
      <c r="C26" s="58">
        <v>1</v>
      </c>
      <c r="D26" s="56" t="s">
        <v>16</v>
      </c>
      <c r="E26" s="59" t="s">
        <v>90</v>
      </c>
      <c r="F26" s="65" t="s">
        <v>89</v>
      </c>
      <c r="G26" s="60">
        <v>7000000</v>
      </c>
      <c r="H26" s="61">
        <f t="shared" si="3"/>
        <v>7000000</v>
      </c>
      <c r="I26" s="62">
        <v>0.08</v>
      </c>
      <c r="J26" s="63">
        <f t="shared" si="4"/>
        <v>560000</v>
      </c>
      <c r="K26" s="63">
        <f t="shared" si="5"/>
        <v>7560000</v>
      </c>
      <c r="L26" s="64"/>
    </row>
    <row r="27" spans="1:13" ht="15.6" x14ac:dyDescent="0.3">
      <c r="A27" s="56" t="s">
        <v>60</v>
      </c>
      <c r="B27" s="57" t="s">
        <v>61</v>
      </c>
      <c r="C27" s="58">
        <v>4</v>
      </c>
      <c r="D27" s="56" t="s">
        <v>81</v>
      </c>
      <c r="E27" s="59" t="s">
        <v>17</v>
      </c>
      <c r="F27" s="59" t="s">
        <v>85</v>
      </c>
      <c r="G27" s="60">
        <v>450000</v>
      </c>
      <c r="H27" s="61">
        <f t="shared" si="3"/>
        <v>1800000</v>
      </c>
      <c r="I27" s="62">
        <v>0.08</v>
      </c>
      <c r="J27" s="63">
        <f t="shared" si="4"/>
        <v>144000</v>
      </c>
      <c r="K27" s="63">
        <f t="shared" si="5"/>
        <v>1944000</v>
      </c>
      <c r="L27" s="64"/>
    </row>
    <row r="28" spans="1:13" ht="15.6" x14ac:dyDescent="0.3">
      <c r="A28" s="56" t="s">
        <v>62</v>
      </c>
      <c r="B28" s="57" t="s">
        <v>63</v>
      </c>
      <c r="C28" s="58">
        <v>1</v>
      </c>
      <c r="D28" s="56" t="s">
        <v>82</v>
      </c>
      <c r="E28" s="59"/>
      <c r="F28" s="59" t="s">
        <v>85</v>
      </c>
      <c r="G28" s="60">
        <v>5000000</v>
      </c>
      <c r="H28" s="61">
        <f t="shared" si="3"/>
        <v>5000000</v>
      </c>
      <c r="I28" s="62">
        <v>0.08</v>
      </c>
      <c r="J28" s="63">
        <f t="shared" si="4"/>
        <v>400000</v>
      </c>
      <c r="K28" s="63">
        <f t="shared" si="5"/>
        <v>5400000</v>
      </c>
      <c r="L28" s="64"/>
    </row>
    <row r="29" spans="1:13" ht="15.6" x14ac:dyDescent="0.3">
      <c r="A29" s="47" t="s">
        <v>64</v>
      </c>
      <c r="B29" s="48" t="s">
        <v>65</v>
      </c>
      <c r="C29" s="49"/>
      <c r="D29" s="47"/>
      <c r="E29" s="50"/>
      <c r="F29" s="50"/>
      <c r="G29" s="51"/>
      <c r="H29" s="52"/>
      <c r="I29" s="53"/>
      <c r="J29" s="54"/>
      <c r="K29" s="54"/>
      <c r="L29" s="55"/>
    </row>
    <row r="30" spans="1:13" ht="78" x14ac:dyDescent="0.3">
      <c r="A30" s="56" t="s">
        <v>66</v>
      </c>
      <c r="B30" s="57" t="s">
        <v>67</v>
      </c>
      <c r="C30" s="58">
        <v>1</v>
      </c>
      <c r="D30" s="56" t="s">
        <v>16</v>
      </c>
      <c r="E30" s="59" t="s">
        <v>94</v>
      </c>
      <c r="F30" s="65" t="s">
        <v>91</v>
      </c>
      <c r="G30" s="60">
        <v>15000000</v>
      </c>
      <c r="H30" s="61">
        <f t="shared" si="3"/>
        <v>15000000</v>
      </c>
      <c r="I30" s="62">
        <v>0.08</v>
      </c>
      <c r="J30" s="63">
        <f t="shared" si="4"/>
        <v>1200000</v>
      </c>
      <c r="K30" s="63">
        <f t="shared" si="5"/>
        <v>16200000</v>
      </c>
      <c r="L30" s="64"/>
    </row>
    <row r="31" spans="1:13" ht="15.6" x14ac:dyDescent="0.3">
      <c r="A31" s="56" t="s">
        <v>68</v>
      </c>
      <c r="B31" s="57" t="s">
        <v>61</v>
      </c>
      <c r="C31" s="58">
        <v>1</v>
      </c>
      <c r="D31" s="56" t="s">
        <v>20</v>
      </c>
      <c r="E31" s="59" t="s">
        <v>17</v>
      </c>
      <c r="F31" s="59" t="s">
        <v>85</v>
      </c>
      <c r="G31" s="60">
        <v>450000</v>
      </c>
      <c r="H31" s="61">
        <f t="shared" si="3"/>
        <v>450000</v>
      </c>
      <c r="I31" s="62">
        <v>0.08</v>
      </c>
      <c r="J31" s="63">
        <f t="shared" si="4"/>
        <v>36000</v>
      </c>
      <c r="K31" s="63">
        <f t="shared" si="5"/>
        <v>486000</v>
      </c>
      <c r="L31" s="64"/>
    </row>
    <row r="32" spans="1:13" ht="15.6" x14ac:dyDescent="0.3">
      <c r="A32" s="56" t="s">
        <v>69</v>
      </c>
      <c r="B32" s="57" t="s">
        <v>63</v>
      </c>
      <c r="C32" s="58">
        <v>1</v>
      </c>
      <c r="D32" s="56" t="s">
        <v>82</v>
      </c>
      <c r="E32" s="59"/>
      <c r="F32" s="59" t="s">
        <v>85</v>
      </c>
      <c r="G32" s="60">
        <v>1000000</v>
      </c>
      <c r="H32" s="61">
        <f t="shared" si="3"/>
        <v>1000000</v>
      </c>
      <c r="I32" s="62">
        <v>0.08</v>
      </c>
      <c r="J32" s="63">
        <f t="shared" si="4"/>
        <v>80000</v>
      </c>
      <c r="K32" s="63">
        <f t="shared" si="5"/>
        <v>1080000</v>
      </c>
      <c r="L32" s="64"/>
    </row>
    <row r="33" spans="1:13" ht="15.6" x14ac:dyDescent="0.3">
      <c r="A33" s="47" t="s">
        <v>70</v>
      </c>
      <c r="B33" s="48" t="s">
        <v>71</v>
      </c>
      <c r="C33" s="49"/>
      <c r="D33" s="47"/>
      <c r="E33" s="50"/>
      <c r="F33" s="50"/>
      <c r="G33" s="51"/>
      <c r="H33" s="52"/>
      <c r="I33" s="53"/>
      <c r="J33" s="54"/>
      <c r="K33" s="54"/>
      <c r="L33" s="55"/>
    </row>
    <row r="34" spans="1:13" ht="78" x14ac:dyDescent="0.3">
      <c r="A34" s="56" t="s">
        <v>72</v>
      </c>
      <c r="B34" s="57" t="s">
        <v>67</v>
      </c>
      <c r="C34" s="58">
        <v>1</v>
      </c>
      <c r="D34" s="56" t="s">
        <v>16</v>
      </c>
      <c r="E34" s="59" t="s">
        <v>94</v>
      </c>
      <c r="F34" s="65" t="s">
        <v>91</v>
      </c>
      <c r="G34" s="60">
        <v>15000000</v>
      </c>
      <c r="H34" s="61">
        <f t="shared" si="3"/>
        <v>15000000</v>
      </c>
      <c r="I34" s="62">
        <v>0.08</v>
      </c>
      <c r="J34" s="63">
        <f t="shared" si="4"/>
        <v>1200000</v>
      </c>
      <c r="K34" s="63">
        <f t="shared" si="5"/>
        <v>16200000</v>
      </c>
      <c r="L34" s="64"/>
    </row>
    <row r="35" spans="1:13" ht="15.6" x14ac:dyDescent="0.3">
      <c r="A35" s="56" t="s">
        <v>73</v>
      </c>
      <c r="B35" s="57" t="s">
        <v>61</v>
      </c>
      <c r="C35" s="58">
        <v>1</v>
      </c>
      <c r="D35" s="56" t="s">
        <v>20</v>
      </c>
      <c r="E35" s="59" t="s">
        <v>17</v>
      </c>
      <c r="F35" s="59" t="s">
        <v>85</v>
      </c>
      <c r="G35" s="60">
        <v>450000</v>
      </c>
      <c r="H35" s="61">
        <f t="shared" si="3"/>
        <v>450000</v>
      </c>
      <c r="I35" s="62">
        <v>0.08</v>
      </c>
      <c r="J35" s="63">
        <f t="shared" si="4"/>
        <v>36000</v>
      </c>
      <c r="K35" s="63">
        <f t="shared" si="5"/>
        <v>486000</v>
      </c>
      <c r="L35" s="64"/>
    </row>
    <row r="36" spans="1:13" ht="15.6" x14ac:dyDescent="0.3">
      <c r="A36" s="56" t="s">
        <v>74</v>
      </c>
      <c r="B36" s="57" t="s">
        <v>63</v>
      </c>
      <c r="C36" s="58">
        <v>1</v>
      </c>
      <c r="D36" s="56" t="s">
        <v>82</v>
      </c>
      <c r="E36" s="59"/>
      <c r="F36" s="59" t="s">
        <v>85</v>
      </c>
      <c r="G36" s="60">
        <v>1000000</v>
      </c>
      <c r="H36" s="61">
        <f t="shared" si="3"/>
        <v>1000000</v>
      </c>
      <c r="I36" s="62">
        <v>0.08</v>
      </c>
      <c r="J36" s="63">
        <f t="shared" si="4"/>
        <v>80000</v>
      </c>
      <c r="K36" s="63">
        <f t="shared" si="5"/>
        <v>1080000</v>
      </c>
      <c r="L36" s="64"/>
    </row>
    <row r="37" spans="1:13" ht="15.6" x14ac:dyDescent="0.3">
      <c r="A37" s="47" t="s">
        <v>75</v>
      </c>
      <c r="B37" s="48" t="s">
        <v>35</v>
      </c>
      <c r="C37" s="49"/>
      <c r="D37" s="47"/>
      <c r="E37" s="50"/>
      <c r="F37" s="37"/>
      <c r="G37" s="51"/>
      <c r="H37" s="52"/>
      <c r="I37" s="53"/>
      <c r="J37" s="54"/>
      <c r="K37" s="54"/>
      <c r="L37" s="55"/>
    </row>
    <row r="38" spans="1:13" ht="46.8" x14ac:dyDescent="0.3">
      <c r="A38" s="56" t="s">
        <v>76</v>
      </c>
      <c r="B38" s="57" t="s">
        <v>77</v>
      </c>
      <c r="C38" s="58">
        <v>3</v>
      </c>
      <c r="D38" s="56" t="s">
        <v>16</v>
      </c>
      <c r="E38" s="59" t="s">
        <v>93</v>
      </c>
      <c r="F38" s="59" t="s">
        <v>92</v>
      </c>
      <c r="G38" s="60">
        <v>5600000</v>
      </c>
      <c r="H38" s="61">
        <f t="shared" si="3"/>
        <v>16800000</v>
      </c>
      <c r="I38" s="62">
        <v>0.08</v>
      </c>
      <c r="J38" s="63">
        <f t="shared" si="4"/>
        <v>1344000</v>
      </c>
      <c r="K38" s="63">
        <f t="shared" si="5"/>
        <v>18144000</v>
      </c>
      <c r="L38" s="64"/>
    </row>
    <row r="39" spans="1:13" ht="15.6" x14ac:dyDescent="0.3">
      <c r="A39" s="56" t="s">
        <v>78</v>
      </c>
      <c r="B39" s="57" t="s">
        <v>95</v>
      </c>
      <c r="C39" s="58">
        <v>1</v>
      </c>
      <c r="D39" s="56" t="s">
        <v>16</v>
      </c>
      <c r="E39" s="59" t="s">
        <v>87</v>
      </c>
      <c r="F39" s="59" t="s">
        <v>86</v>
      </c>
      <c r="G39" s="60">
        <v>75000000</v>
      </c>
      <c r="H39" s="61">
        <f t="shared" si="3"/>
        <v>75000000</v>
      </c>
      <c r="I39" s="62">
        <v>0.08</v>
      </c>
      <c r="J39" s="63">
        <f t="shared" si="4"/>
        <v>6000000</v>
      </c>
      <c r="K39" s="63">
        <f t="shared" si="5"/>
        <v>81000000</v>
      </c>
      <c r="L39" s="64"/>
    </row>
    <row r="40" spans="1:13" ht="15.6" x14ac:dyDescent="0.3">
      <c r="A40" s="56" t="s">
        <v>79</v>
      </c>
      <c r="B40" s="57" t="s">
        <v>63</v>
      </c>
      <c r="C40" s="58">
        <v>1</v>
      </c>
      <c r="D40" s="56" t="s">
        <v>82</v>
      </c>
      <c r="E40" s="59"/>
      <c r="F40" s="59" t="s">
        <v>85</v>
      </c>
      <c r="G40" s="60">
        <v>35000000</v>
      </c>
      <c r="H40" s="61">
        <f t="shared" si="3"/>
        <v>35000000</v>
      </c>
      <c r="I40" s="62">
        <v>0.08</v>
      </c>
      <c r="J40" s="63">
        <f t="shared" si="4"/>
        <v>2800000</v>
      </c>
      <c r="K40" s="63">
        <f t="shared" si="5"/>
        <v>37800000</v>
      </c>
      <c r="L40" s="64"/>
    </row>
    <row r="41" spans="1:13" ht="10.5" customHeight="1" x14ac:dyDescent="0.3">
      <c r="A41" s="29"/>
      <c r="B41" s="30"/>
      <c r="C41" s="29"/>
      <c r="D41" s="29"/>
      <c r="E41" s="31"/>
      <c r="F41" s="32"/>
      <c r="G41" s="33"/>
      <c r="H41" s="34"/>
      <c r="I41" s="35"/>
      <c r="J41" s="33"/>
      <c r="K41" s="33"/>
      <c r="L41" s="36"/>
    </row>
    <row r="42" spans="1:13" ht="24.75" customHeight="1" x14ac:dyDescent="0.3">
      <c r="A42" s="68" t="s">
        <v>14</v>
      </c>
      <c r="B42" s="68"/>
      <c r="C42" s="68"/>
      <c r="D42" s="68"/>
      <c r="E42" s="68"/>
      <c r="F42" s="68"/>
      <c r="G42" s="68"/>
      <c r="H42" s="23"/>
      <c r="I42" s="24"/>
      <c r="J42" s="25"/>
      <c r="K42" s="23">
        <f>SUM(H8:H41)</f>
        <v>300000000</v>
      </c>
      <c r="L42" s="26"/>
      <c r="M42" s="66">
        <f>K42*0.15</f>
        <v>45000000</v>
      </c>
    </row>
    <row r="43" spans="1:13" ht="24.75" customHeight="1" x14ac:dyDescent="0.3">
      <c r="A43" s="68" t="s">
        <v>9</v>
      </c>
      <c r="B43" s="68"/>
      <c r="C43" s="68"/>
      <c r="D43" s="68"/>
      <c r="E43" s="68"/>
      <c r="F43" s="68"/>
      <c r="G43" s="68"/>
      <c r="H43" s="23"/>
      <c r="I43" s="24"/>
      <c r="J43" s="25"/>
      <c r="K43" s="23">
        <f>SUM(J8:J41)</f>
        <v>24000000</v>
      </c>
      <c r="L43" s="26"/>
    </row>
    <row r="44" spans="1:13" ht="24.75" customHeight="1" x14ac:dyDescent="0.3">
      <c r="A44" s="68" t="s">
        <v>15</v>
      </c>
      <c r="B44" s="68"/>
      <c r="C44" s="68"/>
      <c r="D44" s="68"/>
      <c r="E44" s="68"/>
      <c r="F44" s="68"/>
      <c r="G44" s="68"/>
      <c r="H44" s="27"/>
      <c r="I44" s="27"/>
      <c r="J44" s="28"/>
      <c r="K44" s="23">
        <f>K42+K43</f>
        <v>324000000</v>
      </c>
      <c r="L44" s="26"/>
    </row>
    <row r="45" spans="1:13" ht="21.75" customHeight="1" x14ac:dyDescent="0.3">
      <c r="A45" s="69" t="s">
        <v>84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</row>
    <row r="46" spans="1:13" x14ac:dyDescent="0.3">
      <c r="E46" s="8"/>
      <c r="F46" s="8"/>
      <c r="G46" s="16"/>
      <c r="H46" s="7"/>
      <c r="I46" s="7"/>
      <c r="J46" s="7"/>
      <c r="K46" s="7"/>
    </row>
    <row r="47" spans="1:13" x14ac:dyDescent="0.3">
      <c r="G47" s="17"/>
      <c r="H47" s="4"/>
      <c r="I47" s="4"/>
      <c r="J47" s="11"/>
      <c r="K47" s="12"/>
      <c r="L47" s="14"/>
    </row>
    <row r="48" spans="1:13" x14ac:dyDescent="0.3">
      <c r="G48" s="17"/>
      <c r="J48" s="11"/>
      <c r="K48" s="12"/>
      <c r="L48" s="14"/>
    </row>
    <row r="49" spans="5:12" x14ac:dyDescent="0.3">
      <c r="E49" s="9"/>
      <c r="F49" s="9"/>
      <c r="G49" s="17"/>
      <c r="H49" s="4"/>
      <c r="I49" s="4"/>
      <c r="J49" s="11"/>
      <c r="K49" s="12"/>
      <c r="L49" s="14"/>
    </row>
    <row r="50" spans="5:12" x14ac:dyDescent="0.3">
      <c r="G50" s="18"/>
      <c r="J50" s="11"/>
      <c r="K50" s="12"/>
      <c r="L50" s="14"/>
    </row>
    <row r="51" spans="5:12" x14ac:dyDescent="0.3">
      <c r="E51" s="10"/>
      <c r="F51" s="10"/>
      <c r="G51" s="18"/>
      <c r="H51" s="6"/>
      <c r="I51" s="6"/>
      <c r="J51" s="11"/>
      <c r="K51" s="12"/>
      <c r="L51" s="14"/>
    </row>
    <row r="52" spans="5:12" x14ac:dyDescent="0.3">
      <c r="K52" s="13"/>
    </row>
  </sheetData>
  <autoFilter ref="A7:L40"/>
  <mergeCells count="19">
    <mergeCell ref="A1:L1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A42:G42"/>
    <mergeCell ref="A44:G44"/>
    <mergeCell ref="A43:G43"/>
    <mergeCell ref="A45:L45"/>
    <mergeCell ref="K6:K7"/>
    <mergeCell ref="L6:L7"/>
  </mergeCells>
  <phoneticPr fontId="18" type="noConversion"/>
  <conditionalFormatting sqref="H42:H43">
    <cfRule type="expression" dxfId="1" priority="2">
      <formula>$H$54&lt;&gt;$L$54</formula>
    </cfRule>
  </conditionalFormatting>
  <conditionalFormatting sqref="K42:K44">
    <cfRule type="expression" dxfId="0" priority="1">
      <formula>$H$54&lt;&gt;$L$54</formula>
    </cfRule>
  </conditionalFormatting>
  <printOptions horizontalCentered="1"/>
  <pageMargins left="0.18" right="0.17" top="0.34" bottom="0.32" header="0.11" footer="0.14000000000000001"/>
  <pageSetup paperSize="9" scale="63"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Scada_TTLL</vt:lpstr>
      <vt:lpstr>Scada_TTLL!Print_Area</vt:lpstr>
      <vt:lpstr>Scada_TTLL!Print_Titles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2025-03-28T02:44:09Z</dcterms:created>
  <dcterms:modified xsi:type="dcterms:W3CDTF">2026-06-07T02:40:57Z</dcterms:modified>
  <cp:category/>
</cp:coreProperties>
</file>