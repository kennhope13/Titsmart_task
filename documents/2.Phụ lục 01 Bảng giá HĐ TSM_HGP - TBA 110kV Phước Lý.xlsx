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F9D7502E-A8D9-41C6-9384-9707BDB8BDE8}" xr6:coauthVersionLast="47" xr6:coauthVersionMax="47" xr10:uidLastSave="{00000000-0000-0000-0000-000000000000}"/>
  <bookViews>
    <workbookView xWindow="-120" yWindow="-120" windowWidth="29040" windowHeight="15720" xr2:uid="{00000000-000D-0000-FFFF-FFFF00000000}"/>
  </bookViews>
  <sheets>
    <sheet name="Scada_TTLL" sheetId="1" r:id="rId1"/>
  </sheets>
  <definedNames>
    <definedName name="_xlnm._FilterDatabase" localSheetId="0" hidden="1">Scada_TTLL!$A$7:$L$80</definedName>
    <definedName name="_xlnm.Print_Area" localSheetId="0">Scada_TTLL!$A$1:$L$85</definedName>
    <definedName name="_xlnm.Print_Titles" localSheetId="0">Scada_TTLL!$6:$7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0" i="1" l="1"/>
  <c r="H79" i="1"/>
  <c r="H78" i="1"/>
  <c r="J78" i="1" s="1"/>
  <c r="K78" i="1" s="1"/>
  <c r="H77" i="1"/>
  <c r="H76" i="1"/>
  <c r="H75" i="1"/>
  <c r="H74" i="1"/>
  <c r="H73" i="1"/>
  <c r="J73" i="1" s="1"/>
  <c r="K73" i="1" s="1"/>
  <c r="H71" i="1"/>
  <c r="H70" i="1"/>
  <c r="H69" i="1"/>
  <c r="J69" i="1" s="1"/>
  <c r="K69" i="1" s="1"/>
  <c r="H68" i="1"/>
  <c r="H67" i="1"/>
  <c r="H66" i="1"/>
  <c r="H65" i="1"/>
  <c r="J65" i="1" s="1"/>
  <c r="K65" i="1" s="1"/>
  <c r="H64" i="1"/>
  <c r="J64" i="1" s="1"/>
  <c r="K64" i="1" s="1"/>
  <c r="H63" i="1"/>
  <c r="H61" i="1"/>
  <c r="H60" i="1"/>
  <c r="J60" i="1" s="1"/>
  <c r="K60" i="1" s="1"/>
  <c r="H59" i="1"/>
  <c r="J59" i="1" s="1"/>
  <c r="H58" i="1"/>
  <c r="H57" i="1"/>
  <c r="H56" i="1"/>
  <c r="J56" i="1" s="1"/>
  <c r="K56" i="1" s="1"/>
  <c r="H55" i="1"/>
  <c r="J55" i="1" s="1"/>
  <c r="K55" i="1" s="1"/>
  <c r="H54" i="1"/>
  <c r="H52" i="1"/>
  <c r="H51" i="1"/>
  <c r="J51" i="1" s="1"/>
  <c r="K51" i="1" s="1"/>
  <c r="H50" i="1"/>
  <c r="H49" i="1"/>
  <c r="H48" i="1"/>
  <c r="J48" i="1" s="1"/>
  <c r="H47" i="1"/>
  <c r="J47" i="1" s="1"/>
  <c r="K47" i="1" s="1"/>
  <c r="J46" i="1"/>
  <c r="K46" i="1" s="1"/>
  <c r="H46" i="1"/>
  <c r="H45" i="1"/>
  <c r="H44" i="1"/>
  <c r="H42" i="1"/>
  <c r="J42" i="1" s="1"/>
  <c r="K42" i="1" s="1"/>
  <c r="H41" i="1"/>
  <c r="H40" i="1"/>
  <c r="H39" i="1"/>
  <c r="J39" i="1" s="1"/>
  <c r="H38" i="1"/>
  <c r="J38" i="1" s="1"/>
  <c r="K38" i="1" s="1"/>
  <c r="H37" i="1"/>
  <c r="J37" i="1" s="1"/>
  <c r="K37" i="1" s="1"/>
  <c r="H36" i="1"/>
  <c r="H35" i="1"/>
  <c r="H34" i="1"/>
  <c r="J34" i="1" s="1"/>
  <c r="K34" i="1" s="1"/>
  <c r="H33" i="1"/>
  <c r="H32" i="1"/>
  <c r="H31" i="1"/>
  <c r="J31" i="1" s="1"/>
  <c r="H30" i="1"/>
  <c r="H29" i="1"/>
  <c r="J29" i="1" s="1"/>
  <c r="K29" i="1" s="1"/>
  <c r="H28" i="1"/>
  <c r="H27" i="1"/>
  <c r="H26" i="1"/>
  <c r="J26" i="1" s="1"/>
  <c r="K26" i="1" s="1"/>
  <c r="H25" i="1"/>
  <c r="H23" i="1"/>
  <c r="H22" i="1"/>
  <c r="J22" i="1" s="1"/>
  <c r="H21" i="1"/>
  <c r="H20" i="1"/>
  <c r="J20" i="1" s="1"/>
  <c r="K20" i="1" s="1"/>
  <c r="H19" i="1"/>
  <c r="H18" i="1"/>
  <c r="H17" i="1"/>
  <c r="J17" i="1" s="1"/>
  <c r="K17" i="1" s="1"/>
  <c r="H15" i="1"/>
  <c r="H14" i="1"/>
  <c r="H13" i="1"/>
  <c r="J13" i="1" s="1"/>
  <c r="H12" i="1"/>
  <c r="H11" i="1"/>
  <c r="J11" i="1" s="1"/>
  <c r="K11" i="1" s="1"/>
  <c r="H10" i="1"/>
  <c r="J74" i="1" l="1"/>
  <c r="K74" i="1" s="1"/>
  <c r="J25" i="1"/>
  <c r="K25" i="1" s="1"/>
  <c r="K59" i="1"/>
  <c r="J75" i="1"/>
  <c r="K75" i="1" s="1"/>
  <c r="J66" i="1"/>
  <c r="K66" i="1" s="1"/>
  <c r="J77" i="1"/>
  <c r="K77" i="1" s="1"/>
  <c r="J41" i="1"/>
  <c r="K41" i="1" s="1"/>
  <c r="J33" i="1"/>
  <c r="K33" i="1" s="1"/>
  <c r="J50" i="1"/>
  <c r="K50" i="1" s="1"/>
  <c r="J57" i="1"/>
  <c r="K57" i="1" s="1"/>
  <c r="J68" i="1"/>
  <c r="K68" i="1" s="1"/>
  <c r="K21" i="1"/>
  <c r="K13" i="1"/>
  <c r="K22" i="1"/>
  <c r="K31" i="1"/>
  <c r="K39" i="1"/>
  <c r="K48" i="1"/>
  <c r="J14" i="1"/>
  <c r="K14" i="1" s="1"/>
  <c r="J23" i="1"/>
  <c r="K23" i="1" s="1"/>
  <c r="J32" i="1"/>
  <c r="K32" i="1" s="1"/>
  <c r="J40" i="1"/>
  <c r="K40" i="1" s="1"/>
  <c r="J49" i="1"/>
  <c r="K49" i="1" s="1"/>
  <c r="J58" i="1"/>
  <c r="K58" i="1" s="1"/>
  <c r="J67" i="1"/>
  <c r="K67" i="1" s="1"/>
  <c r="J76" i="1"/>
  <c r="K76" i="1" s="1"/>
  <c r="J18" i="1"/>
  <c r="K18" i="1" s="1"/>
  <c r="J27" i="1"/>
  <c r="K27" i="1" s="1"/>
  <c r="J35" i="1"/>
  <c r="K35" i="1" s="1"/>
  <c r="J44" i="1"/>
  <c r="K44" i="1" s="1"/>
  <c r="J52" i="1"/>
  <c r="K52" i="1" s="1"/>
  <c r="J61" i="1"/>
  <c r="K61" i="1" s="1"/>
  <c r="J70" i="1"/>
  <c r="K70" i="1" s="1"/>
  <c r="J79" i="1"/>
  <c r="K79" i="1" s="1"/>
  <c r="J12" i="1"/>
  <c r="K12" i="1" s="1"/>
  <c r="J21" i="1"/>
  <c r="J30" i="1"/>
  <c r="K30" i="1" s="1"/>
  <c r="J15" i="1"/>
  <c r="K15" i="1" s="1"/>
  <c r="J10" i="1"/>
  <c r="K10" i="1" s="1"/>
  <c r="J19" i="1"/>
  <c r="K19" i="1" s="1"/>
  <c r="J28" i="1"/>
  <c r="K28" i="1" s="1"/>
  <c r="J36" i="1"/>
  <c r="K36" i="1" s="1"/>
  <c r="J45" i="1"/>
  <c r="K45" i="1" s="1"/>
  <c r="J54" i="1"/>
  <c r="K54" i="1" s="1"/>
  <c r="J63" i="1"/>
  <c r="K63" i="1" s="1"/>
  <c r="J71" i="1"/>
  <c r="K71" i="1" s="1"/>
  <c r="J80" i="1"/>
  <c r="K80" i="1" s="1"/>
  <c r="H9" i="1" l="1"/>
  <c r="J9" i="1" l="1"/>
  <c r="K9" i="1" s="1"/>
  <c r="K82" i="1"/>
  <c r="K83" i="1" l="1"/>
  <c r="K84" i="1" l="1"/>
</calcChain>
</file>

<file path=xl/sharedStrings.xml><?xml version="1.0" encoding="utf-8"?>
<sst xmlns="http://schemas.openxmlformats.org/spreadsheetml/2006/main" count="300" uniqueCount="166">
  <si>
    <t/>
  </si>
  <si>
    <t>Lô</t>
  </si>
  <si>
    <t>Ghi chú</t>
  </si>
  <si>
    <t>Mã hiệu</t>
  </si>
  <si>
    <t>Nguồn sản xuất</t>
  </si>
  <si>
    <t>Đơn giá</t>
  </si>
  <si>
    <t>Stt</t>
  </si>
  <si>
    <t>Mô tả công việc mời thầu</t>
  </si>
  <si>
    <t xml:space="preserve">Đơn vị tính </t>
  </si>
  <si>
    <t>Khối lượng</t>
  </si>
  <si>
    <t>Thành tiền
trước thuế VAT</t>
  </si>
  <si>
    <t>Thuế VAT</t>
  </si>
  <si>
    <t>%</t>
  </si>
  <si>
    <t>Tiền thuế</t>
  </si>
  <si>
    <t>Tổng tiền</t>
  </si>
  <si>
    <t>PHỤ LỤC 01: BẢNG CHI TIẾT GIÁ TRỊ HỢP ĐỒNG</t>
  </si>
  <si>
    <t>Tổng giá trị trước thuế (VNĐ)</t>
  </si>
  <si>
    <t>Tổng giá trị sau thuế (VNĐ)</t>
  </si>
  <si>
    <t>Máy tính GATEWAY</t>
  </si>
  <si>
    <t>Bộ</t>
  </si>
  <si>
    <t>Module</t>
  </si>
  <si>
    <t>DN</t>
  </si>
  <si>
    <t>TSM/VN</t>
  </si>
  <si>
    <t>ODF24</t>
  </si>
  <si>
    <t>Công trình: Trạm biến áp 110kV Phước Lý</t>
  </si>
  <si>
    <t>Hạng mục: Cung cấp và thi công hoàn thiện hệ thống Thông tin liên lạc và SCADA - Trạm 110kV Phước Lý, tỉnh Tây Ninh</t>
  </si>
  <si>
    <t>(Đính kèm theo Hợp đồng số: 200426/HĐXL/TSM-HGP ngày 20/04/2026)</t>
  </si>
  <si>
    <t>PHẦN THÔNG TIN LIÊN LẠC TẠI TRẠM BIẾN ÁP 110KV PHƯỚC LÝ DO CHỦ ĐẦU TƯ CUNG CẤP TẠI KHO CHỦ ĐẦU TƯ (THỦ ĐỨC), NHÀ THẦU VẬN CHUYỂN VÀ LẮP ĐẶT HOÀN THIỆN TẠI CÔNG TRƯỜNG Xem tập 2: Hồ sơ kỹ thuật và Tập 3: Các bản vẽ thiết kế</t>
  </si>
  <si>
    <t>10.1</t>
  </si>
  <si>
    <t>Vỏ tủ TTLL - Lắp đặt tại TBA 110kV Phước Lý</t>
  </si>
  <si>
    <t>10.2</t>
  </si>
  <si>
    <t>Thiết bị lọc IP, giới hạn truy cập IP Filter (Firewall) - Lắp đặt tại TBA 110kV Phước Lý</t>
  </si>
  <si>
    <t>10.3</t>
  </si>
  <si>
    <t>Hộp nối cáp quang ODF- Lắp đặt tại TBA 110kV Phước Lý</t>
  </si>
  <si>
    <t>10.4</t>
  </si>
  <si>
    <t>Điện thoại IP phone- Lắp đặt tại TBA 110kV Phước Lý</t>
  </si>
  <si>
    <t>10.5</t>
  </si>
  <si>
    <t>Thiết bị Ethernet Switch Distribute (OT WAN)- Lắp đặt tại TBA 110kV Phước Lý</t>
  </si>
  <si>
    <t>10.6</t>
  </si>
  <si>
    <t>Thiết bị Ethernet Switch Distribute (OT WAN)- Lắp đặt tại TBA 110kV Cần giuộc</t>
  </si>
  <si>
    <t>10.7</t>
  </si>
  <si>
    <t>Thiết bị Ethernet Switch Distribute (OT WAN)- Lắp đặt tại TBA 110kV Cần Đước</t>
  </si>
  <si>
    <t>PHẦN SCADA TRẠM BIẾN ÁP 110KV PHƯỚC LÝ DO CHỦ ĐẦU TƯ CUNG CẤP TẠI KHO CHỦ ĐẦU TƯ (THỦ ĐỨC), NHÀ THẦU VẬN CHUYỂN VÀ LẮP ĐẶT HOÀN THIỆN TẠI CÔNG TRƯỜNG Xem tập 2: Hồ sơ kỹ thuật và Tập 3: Các bản vẽ thiết kế</t>
  </si>
  <si>
    <t>11.1</t>
  </si>
  <si>
    <t>Vỏ tủ SCADA</t>
  </si>
  <si>
    <t>11.2</t>
  </si>
  <si>
    <t>Thiết bị Ethernet Switch Access</t>
  </si>
  <si>
    <t>11.3</t>
  </si>
  <si>
    <t>Phần mềm Gateway và HMI</t>
  </si>
  <si>
    <t>11.4</t>
  </si>
  <si>
    <t>11.5</t>
  </si>
  <si>
    <t>Thiết bị đồng bộ thời gian GPS clock</t>
  </si>
  <si>
    <t>11.6</t>
  </si>
  <si>
    <t>Inverter 220VAC &amp; 110VDC-220VAC, 2000VA (power supply)</t>
  </si>
  <si>
    <t>11.7</t>
  </si>
  <si>
    <t>Hệ thống máy tính HMI</t>
  </si>
  <si>
    <t>PHẦN THÔNG TIN LIÊN LẠC TẠI TRẠM BIẾN ÁP 110KV PHƯỚC LÝ DO NHÀ THẦU CUNG CẤP, VẬN CHUYỂN VÀ LẮP ĐẶT HOÀN THIỆN TẠI CÔNG TRƯỜNG - Chi tiết theo Tập 2-Yêu cầu kỹ thuật và Tập 3 các bản vẽ thiết kế Xem bản vẽ: 417016G-TR-TT-01,02</t>
  </si>
  <si>
    <t>105.1</t>
  </si>
  <si>
    <t>Thiết bị Ethernet Switch L3 (IT WAN) lắp đặt tại Phước Lý</t>
  </si>
  <si>
    <t>105.2</t>
  </si>
  <si>
    <t>Thiết bị lọc IP, giới hạn truy cập IP Filter (Firewall) - Lắp đặt tại TBA 110kV Phước Lý (Tương thích và đồng bộ với thiết bị Firewall do Chủ đầu tư cung cấp)</t>
  </si>
  <si>
    <t>105.3</t>
  </si>
  <si>
    <t>Thiết bị ghép nối rơ le bảo vệ khoảng cách (Teleprotection)</t>
  </si>
  <si>
    <t>105.4</t>
  </si>
  <si>
    <t>Module ghép Stack cho thiết bị Switch L3 Distribute (OT-WAN) bao gồm trọn bộ cáp kết nối và phụ kiện đi kèm (module ghép stack phải đảm bảo tương thích với thiết bị Switch L3 Distribute do Chủ đầu tư cung cấp)</t>
  </si>
  <si>
    <t>105.5</t>
  </si>
  <si>
    <t>Module quang SFP 10G, cự ly 40km, loại Duplex cho thiết bị Switch L3 Distribute (OT-WAN) (module phải cùng hãng hoặc phải đảm bảo tương thích với thiết bị Switch L3 Distribute do Chủ đầu tư cung cấp)</t>
  </si>
  <si>
    <t>105.6</t>
  </si>
  <si>
    <t>Module quang SFP 1G, cự ly 40km, loại Duplex cho thiết bị Switch L3 (IT-WAN)</t>
  </si>
  <si>
    <t>105.7</t>
  </si>
  <si>
    <t>Cáp quang non-metallic 24 sợi single mode, Tiêu chuẩn ITU-T G.652D</t>
  </si>
  <si>
    <t>105.8</t>
  </si>
  <si>
    <t>Dây nhảy quang loại đầu nối SC/APC-LC/APC cho dấu nối từ Switch đến ODF</t>
  </si>
  <si>
    <t>105.9</t>
  </si>
  <si>
    <t>Dây nhảy quang Single-mode đấu nối từ teleprotection tủ thông tin đến ODF</t>
  </si>
  <si>
    <t>105.10</t>
  </si>
  <si>
    <t>Dây nhảy quang Single-mode đấu nối từ rơ le F87L-E03 đến ODF</t>
  </si>
  <si>
    <t>105.11</t>
  </si>
  <si>
    <t>Ống bảo vệ cáp quang HDPE F40</t>
  </si>
  <si>
    <t>105.12</t>
  </si>
  <si>
    <t>Ống bảo vệ cáp quang PVC ruột gà F25/32</t>
  </si>
  <si>
    <t>105.13</t>
  </si>
  <si>
    <t>Cáp mạng CAT6 có bọc giáp chống nhiễu (Loại đúc sẵn, 5m/sợi; 10m/sợi, bao gồm đầu nối)</t>
  </si>
  <si>
    <t>105.14</t>
  </si>
  <si>
    <t>Cáp nguồn Cu/PVC/PVC/Fr 2Cx4mm2</t>
  </si>
  <si>
    <t>105.15</t>
  </si>
  <si>
    <t>Cáp nguồn Cu/PVC/PVC/Fr 2Cx2.5mm2</t>
  </si>
  <si>
    <t>105.16</t>
  </si>
  <si>
    <t>Khóa ON/OFF F85 4 vị trí (lắp tại tủ thông tin / tủ ĐKBV)</t>
  </si>
  <si>
    <t>105.17</t>
  </si>
  <si>
    <t>Dây đồng tiếp địa 1Cx16mm2 (tiếp địa tủ thông tin, RTU)</t>
  </si>
  <si>
    <t>105.18</t>
  </si>
  <si>
    <t>Băng keo điện, Băng keo cao su non, Dây rút,…</t>
  </si>
  <si>
    <t>PHẦN HỆ THỐNG SCADA TẠI TRẠM BIẾN ÁP 110KV PHƯỚC LÝ DO NHÀ THẦU CUNG CẤP, VẬN CHUYỂN VÀ LẮP ĐẶT HOÀN THIỆN TẠI CÔNG TRƯỜNG Chi tiết theo Tập 2-Yêu cầu kỹ thuật và Tập 3 các bản vẽ thiết kế Xem bản vẽ: 417016G-TR-TT-01,02</t>
  </si>
  <si>
    <t>106.1</t>
  </si>
  <si>
    <t>Màn hình LCD 23”</t>
  </si>
  <si>
    <t>106.2</t>
  </si>
  <si>
    <t>106.3</t>
  </si>
  <si>
    <t>106.4</t>
  </si>
  <si>
    <t>Cáp quang multi-mode đấu nối Ethernet Switch vòng ring IEC 61850 (Chiều dài phù hợp theo thực tế lắp đặt)</t>
  </si>
  <si>
    <t>106.5</t>
  </si>
  <si>
    <t>Cáp quang multi-mode đấu nối từ rơle tủ ĐKBV, máy tính điều khiển đến Switch Access mạng LAN IEC 61850 (Chiều dài phù hợp theo thực tế lắp đặt)</t>
  </si>
  <si>
    <t>106.6</t>
  </si>
  <si>
    <t>106.7</t>
  </si>
  <si>
    <t>Ống nhựa ruột gà PVC cứng bảo vệ cáp quang đấu nối mạng LAN và cáp quang từ rơle bảo vệ đến Switch Access</t>
  </si>
  <si>
    <t>106.8</t>
  </si>
  <si>
    <t>Đầu cosse các loại (1.5; 2.5; 4mm2)</t>
  </si>
  <si>
    <t>106.9</t>
  </si>
  <si>
    <t>Phụ kiện lắp đặt hoàn chỉnh: Nhãn tên tín hiệu, nhãn cáp, gen đánh số và chữ,…</t>
  </si>
  <si>
    <t>PHẦN THÔNG TIN LIÊN LẠC TẠI TBA 110kV CẦN GIUỘC DO NHÀ THẦU CUNG CẤP, VẬN CHUYỂN VÀ LẮP ĐẶT HOÀN THIỆN TẠI CÔNG TRƯỜNG Chi tiết theo Tập 2-Yêu cầu kỹ thuật và Tập 3 các bản vẽ thiết kế Xem bản vẽ: 417016G-TR-TT-01,02</t>
  </si>
  <si>
    <t>107.1</t>
  </si>
  <si>
    <t>Ethernet Switch Layer 3 (IT-WAN)</t>
  </si>
  <si>
    <t>107.2</t>
  </si>
  <si>
    <t>Module quang SFP 10G, cự ly 40km, loại Duplex cho thiết bị Switch L3 Distribute (OT-WAN)</t>
  </si>
  <si>
    <t>107.3</t>
  </si>
  <si>
    <t>107.4</t>
  </si>
  <si>
    <t>Dây nhảy quang đấu nối Thiết bị Switch L3 (OT/IT-WAN) đến ODF</t>
  </si>
  <si>
    <t>107.5</t>
  </si>
  <si>
    <t>Cáp mạng CAT6 có bọc giáp chống nhiễu, loại đúc sẵn, 10m/sợi</t>
  </si>
  <si>
    <t>107.6</t>
  </si>
  <si>
    <t>107.7</t>
  </si>
  <si>
    <t>Aptomat 110VDC, 10A-2P</t>
  </si>
  <si>
    <t>107.8</t>
  </si>
  <si>
    <t>Dây rút 20mm</t>
  </si>
  <si>
    <t>PHẦN THÔNG TIN LIÊN LẠC TẠI TBA 110kV CẦN ĐƯỚC DO NHÀ THẦU CUNG CẤP, VẬN CHUYỂN VÀ LẮP ĐẶT HOÀN THIỆN TẠI CÔNG TRƯỜNG Chi tiết theo Tập 2-Yêu cầu kỹ thuật và Tập 3 các bản vẽ thiết kế Xem bản vẽ: 417016G-TR-TT-01,02</t>
  </si>
  <si>
    <t>108.1</t>
  </si>
  <si>
    <t>108.2</t>
  </si>
  <si>
    <t>108.3</t>
  </si>
  <si>
    <t>108.4</t>
  </si>
  <si>
    <t>Module quang SFP cho thiết bị Switch ZYXEL GS1350-18HP (tủ Camera) hiện hữu</t>
  </si>
  <si>
    <t>108.5</t>
  </si>
  <si>
    <t>108.6</t>
  </si>
  <si>
    <t>108.7</t>
  </si>
  <si>
    <t>108.8</t>
  </si>
  <si>
    <t>108.9</t>
  </si>
  <si>
    <t>PHẦN CÁP QUANG TẠI TBA 220kV CẦN ĐƯỚC DO NHÀ THẦU CUNG CẤP, VẬN CHUYỂN VÀ LẮP ĐẶT HOÀN THIỆN TẠI CÔNG TRƯỜNG Xem tập 2: Hồ sơ kỹ thuật và Tập 3: Các bản vẽ thiết kế</t>
  </si>
  <si>
    <t>109.1</t>
  </si>
  <si>
    <t>Hộp nối cáp quang ODF 1x24 (Bao gồm các phụ kiện lắp đặt và đấu nối cáp quang như dây pigtails loại SC/APC, dây nhảy patch cord, đầu nối quang, giá lắp trong tủ 19”, co ngót nhiệt và các phụ kiện phù hợp)</t>
  </si>
  <si>
    <t>109.2</t>
  </si>
  <si>
    <t>109.3</t>
  </si>
  <si>
    <t>Dây nhảy quang cho đấu nhảy từ ODF -&gt; ODF; 10m/sợi</t>
  </si>
  <si>
    <t>109.4</t>
  </si>
  <si>
    <t>109.5</t>
  </si>
  <si>
    <t>Dây nhảy quang cho đấu nối từ F87L ngăn E11-176 -&gt; ODF lắp mới, Loại single-mode, full duplex, đầu nối quang phù hợp F87L&lt;-&gt;ODF; 160m/sợi</t>
  </si>
  <si>
    <t>109.6</t>
  </si>
  <si>
    <t>Ống bảo vệ cáp quang HDPE F32, bao gồm trọn bộ phụ kiện lắp đặt hoàn chỉnh</t>
  </si>
  <si>
    <t>CẤU HÌNH VÀ CÀI ĐẶT DỮ LIỆU SCADA TRÊN HỆ THỐNG MÁY CHỦ SCADA/EMS TẠI TRUNG TÂM ĐIỀU ĐỘ HỆ THỐNG ĐIỆN MIỀN NAM (SSO) CHO TBA 110kV PHƯỚC LÝ - DO NHÀ THẦU THỰC HIỆN</t>
  </si>
  <si>
    <t>bộ</t>
  </si>
  <si>
    <t>m</t>
  </si>
  <si>
    <t>sợi</t>
  </si>
  <si>
    <t>lô</t>
  </si>
  <si>
    <t>Cisco/ Trung Quốc</t>
  </si>
  <si>
    <t>C9300</t>
  </si>
  <si>
    <t>ZIV/Spain</t>
  </si>
  <si>
    <t>TPU-1</t>
  </si>
  <si>
    <t>Postel/VN</t>
  </si>
  <si>
    <t>24FO</t>
  </si>
  <si>
    <t>ViewSonic/TQ</t>
  </si>
  <si>
    <t>VA2215-H</t>
  </si>
  <si>
    <t>WT/Handar/China</t>
  </si>
  <si>
    <t>VN</t>
  </si>
  <si>
    <t xml:space="preserve"> CAB-STK-50cm= </t>
  </si>
  <si>
    <t>Fortinet 70F</t>
  </si>
  <si>
    <t>Fortinet/ Đài Loan</t>
  </si>
  <si>
    <t>(Bằng chữ: Một tỷ, sáu trăm lẻ tám triệu, bốn trăm bảy mươi mốt nghìn đồng./.)</t>
  </si>
  <si>
    <t>CẤU HÌNH VÀ THÍ NGHIỆM HIỆU CHỈNH ĐỂ HOÀN CHỈNH KẾT NỐI HỆ THỐNG DỮ LIỆU SCADA CỦA RƠ LE F87L LẮP MỚI TẠI NGĂN LỘ 176 TẠI TBA 220kV CẦN ĐƯỚC VỀ CÁC TRUNG TÂM ĐIỀU ĐỘ SSO, EVNSPC VÀ ĐIỆN LỰC ĐỊA PHƯƠNG - DO NHÀ THẦU THỰC HIỆN (BAO GỒM CÔNG TÁC CÀI ĐẶT,CẤU HÌNH TẠI SSO, EVNSPC VÀ ĐIỆN LỰC ĐỊA PHƯƠNG)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</si>
</sst>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0\ _₫_-;\-* #,##0.00\ _₫_-;_-* &quot;-&quot;??\ _₫_-;_-@_-"/>
    <numFmt numFmtId="166" formatCode="_-* #,##0\ _₫_-;\-* #,##0\ _₫_-;_-* &quot;-&quot;??\ _₫_-;_-@_-"/>
    <numFmt numFmtId="167" formatCode="_(* #,##0_);_(* \(#,##0\);_(* &quot;-&quot;??_);_(@_)"/>
  </numFmts>
  <fonts count="21" x14ac:knownFonts="1">
    <font>
      <sz val="11"/>
      <color theme="1"/>
      <name val="Calibri"/>
      <family val="2"/>
      <scheme val="minor"/>
    </font>
    <font>
      <b/>
      <sz val="14"/>
      <color rgb="FF000000"/>
      <name val="Times New Roman"/>
      <family val="1"/>
    </font>
    <font>
      <b/>
      <sz val="12"/>
      <color rgb="FF000000"/>
      <name val="Times New Roman"/>
      <family val="1"/>
    </font>
    <font>
      <sz val="12"/>
      <color rgb="FF000000"/>
      <name val="Times New Roman"/>
      <family val="1"/>
    </font>
    <font>
      <sz val="11"/>
      <color theme="1"/>
      <name val="Calibri"/>
      <family val="2"/>
      <scheme val="minor"/>
    </font>
    <font>
      <b/>
      <sz val="12"/>
      <color rgb="FF000000"/>
      <name val="Times New Roman"/>
      <family val="1"/>
    </font>
    <font>
      <sz val="12"/>
      <name val="Times New Roman"/>
      <family val="1"/>
    </font>
    <font>
      <sz val="11"/>
      <color theme="1"/>
      <name val="Calibri"/>
      <family val="2"/>
      <charset val="163"/>
      <scheme val="minor"/>
    </font>
    <font>
      <i/>
      <sz val="12"/>
      <color rgb="FF000000"/>
      <name val="Times New Roman"/>
      <family val="1"/>
    </font>
    <font>
      <sz val="11"/>
      <name val="Calibri"/>
      <family val="2"/>
      <scheme val="minor"/>
    </font>
    <font>
      <b/>
      <sz val="12"/>
      <name val="Times New Roman"/>
      <family val="1"/>
    </font>
    <font>
      <b/>
      <sz val="11"/>
      <color theme="1"/>
      <name val="Calibri"/>
      <family val="2"/>
      <scheme val="minor"/>
    </font>
    <font>
      <b/>
      <sz val="14"/>
      <color theme="1"/>
      <name val="Times New Roman"/>
      <family val="1"/>
    </font>
    <font>
      <b/>
      <i/>
      <sz val="14"/>
      <color rgb="FF000000"/>
      <name val="Times New Roman"/>
      <family val="1"/>
    </font>
    <font>
      <b/>
      <sz val="16"/>
      <color rgb="FF000000"/>
      <name val="Times New Roman"/>
      <family val="1"/>
    </font>
    <font>
      <sz val="10"/>
      <name val="Times New Roman"/>
      <family val="1"/>
    </font>
    <font>
      <b/>
      <i/>
      <sz val="13"/>
      <name val="Times New Roman"/>
      <family val="1"/>
    </font>
    <font>
      <sz val="12"/>
      <color theme="1"/>
      <name val="Times New Roman"/>
      <family val="1"/>
    </font>
    <font>
      <sz val="8"/>
      <name val="Calibri"/>
      <family val="2"/>
      <scheme val="minor"/>
    </font>
    <font>
      <b/>
      <sz val="12"/>
      <color theme="1"/>
      <name val="Times New Roman"/>
      <family val="1"/>
    </font>
    <font>
      <b/>
      <i/>
      <sz val="12"/>
      <color rgb="FF000000"/>
      <name val="Times New Roman"/>
      <family val="1"/>
    </font>
  </fonts>
  <fills count="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s>
  <cellStyleXfs count="5">
    <xf numFmtId="0" fontId="0" fillId="0" borderId="0"/>
    <xf numFmtId="165" fontId="7" fillId="0" borderId="0" applyFont="0" applyFill="0" applyBorder="0" applyAlignment="0" applyProtection="0"/>
    <xf numFmtId="0" fontId="9" fillId="0" borderId="0"/>
    <xf numFmtId="164" fontId="4" fillId="0" borderId="0" applyFont="0" applyFill="0" applyBorder="0" applyAlignment="0" applyProtection="0"/>
    <xf numFmtId="9" fontId="4" fillId="0" borderId="0" applyFont="0" applyFill="0" applyBorder="0" applyAlignment="0" applyProtection="0"/>
  </cellStyleXfs>
  <cellXfs count="100">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167" fontId="0" fillId="0" borderId="0" xfId="3" applyNumberFormat="1" applyFont="1" applyAlignment="1">
      <alignment vertical="center"/>
    </xf>
    <xf numFmtId="0" fontId="11" fillId="0" borderId="0" xfId="0" applyFont="1" applyAlignment="1">
      <alignment vertical="center"/>
    </xf>
    <xf numFmtId="167" fontId="0" fillId="0" borderId="0" xfId="0" applyNumberFormat="1" applyAlignment="1">
      <alignment vertical="center"/>
    </xf>
    <xf numFmtId="167" fontId="11" fillId="0" borderId="0" xfId="3" applyNumberFormat="1" applyFont="1" applyAlignment="1">
      <alignment vertical="center"/>
    </xf>
    <xf numFmtId="167" fontId="11" fillId="0" borderId="0" xfId="3" applyNumberFormat="1" applyFont="1" applyAlignment="1">
      <alignment horizontal="center" vertical="center"/>
    </xf>
    <xf numFmtId="167" fontId="0" fillId="0" borderId="0" xfId="3" applyNumberFormat="1" applyFont="1" applyAlignment="1">
      <alignment horizontal="center" vertical="center"/>
    </xf>
    <xf numFmtId="167" fontId="0" fillId="0" borderId="0" xfId="0" applyNumberFormat="1" applyAlignment="1">
      <alignment horizontal="center" vertical="center"/>
    </xf>
    <xf numFmtId="4" fontId="15" fillId="2" borderId="0" xfId="0" applyNumberFormat="1" applyFont="1" applyFill="1" applyAlignment="1">
      <alignment vertical="center" wrapText="1"/>
    </xf>
    <xf numFmtId="3" fontId="15" fillId="2" borderId="0" xfId="0" applyNumberFormat="1" applyFont="1" applyFill="1" applyAlignment="1">
      <alignment vertical="center" wrapText="1"/>
    </xf>
    <xf numFmtId="3" fontId="0" fillId="0" borderId="0" xfId="0" applyNumberFormat="1" applyAlignment="1">
      <alignment vertical="center"/>
    </xf>
    <xf numFmtId="10" fontId="0" fillId="0" borderId="0" xfId="4" applyNumberFormat="1" applyFont="1" applyAlignment="1">
      <alignment vertical="center"/>
    </xf>
    <xf numFmtId="0" fontId="0" fillId="3" borderId="0" xfId="0" applyFill="1" applyAlignment="1">
      <alignment horizontal="center" vertical="center"/>
    </xf>
    <xf numFmtId="10" fontId="11" fillId="3" borderId="0" xfId="4" applyNumberFormat="1" applyFont="1" applyFill="1" applyAlignment="1">
      <alignment vertical="center"/>
    </xf>
    <xf numFmtId="167" fontId="0" fillId="3" borderId="0" xfId="3" applyNumberFormat="1" applyFont="1" applyFill="1" applyAlignment="1">
      <alignment vertical="center"/>
    </xf>
    <xf numFmtId="167" fontId="0" fillId="3" borderId="0" xfId="0" applyNumberFormat="1" applyFill="1" applyAlignment="1">
      <alignment vertical="center"/>
    </xf>
    <xf numFmtId="0" fontId="0" fillId="3" borderId="0" xfId="0" applyFill="1" applyAlignment="1">
      <alignment vertical="center"/>
    </xf>
    <xf numFmtId="0" fontId="1" fillId="4" borderId="0" xfId="0" applyFont="1" applyFill="1" applyAlignment="1">
      <alignment vertical="center" wrapText="1"/>
    </xf>
    <xf numFmtId="0" fontId="12" fillId="4" borderId="0" xfId="0" applyFont="1" applyFill="1" applyAlignment="1">
      <alignment horizontal="center" vertical="center"/>
    </xf>
    <xf numFmtId="0" fontId="0" fillId="4" borderId="0" xfId="0" applyFill="1" applyAlignment="1">
      <alignment vertical="center"/>
    </xf>
    <xf numFmtId="0" fontId="2" fillId="4" borderId="1" xfId="0" applyFont="1" applyFill="1" applyBorder="1" applyAlignment="1">
      <alignment horizontal="center" vertical="center" wrapText="1"/>
    </xf>
    <xf numFmtId="3" fontId="10" fillId="4" borderId="1" xfId="3" applyNumberFormat="1" applyFont="1" applyFill="1" applyBorder="1" applyAlignment="1">
      <alignment horizontal="right" vertical="center" wrapText="1"/>
    </xf>
    <xf numFmtId="3" fontId="10" fillId="4" borderId="1" xfId="0" applyNumberFormat="1" applyFont="1" applyFill="1" applyBorder="1" applyAlignment="1">
      <alignment horizontal="center" vertical="center" wrapText="1"/>
    </xf>
    <xf numFmtId="4" fontId="15" fillId="4" borderId="1" xfId="0" applyNumberFormat="1" applyFont="1" applyFill="1" applyBorder="1" applyAlignment="1">
      <alignment horizontal="center" vertical="center" wrapText="1"/>
    </xf>
    <xf numFmtId="0" fontId="0" fillId="4" borderId="1" xfId="0" applyFill="1" applyBorder="1" applyAlignment="1">
      <alignment vertical="center"/>
    </xf>
    <xf numFmtId="3" fontId="10" fillId="4" borderId="1" xfId="3" applyNumberFormat="1" applyFont="1" applyFill="1" applyBorder="1" applyAlignment="1">
      <alignment vertical="center" wrapText="1"/>
    </xf>
    <xf numFmtId="3" fontId="15" fillId="4" borderId="1" xfId="0" applyNumberFormat="1" applyFont="1" applyFill="1" applyBorder="1" applyAlignment="1">
      <alignment horizontal="center" vertical="center" wrapText="1"/>
    </xf>
    <xf numFmtId="166" fontId="6" fillId="0" borderId="2" xfId="1" applyNumberFormat="1" applyFont="1" applyFill="1" applyBorder="1" applyAlignment="1">
      <alignment horizontal="center" vertical="center"/>
    </xf>
    <xf numFmtId="0" fontId="2" fillId="4" borderId="3" xfId="0" applyFont="1" applyFill="1" applyBorder="1" applyAlignment="1">
      <alignment horizontal="center" vertical="center"/>
    </xf>
    <xf numFmtId="0" fontId="2" fillId="4" borderId="3" xfId="0" applyFont="1" applyFill="1" applyBorder="1" applyAlignment="1">
      <alignment vertical="center" wrapText="1"/>
    </xf>
    <xf numFmtId="164" fontId="2" fillId="4" borderId="3" xfId="3" applyFont="1" applyFill="1" applyBorder="1" applyAlignment="1">
      <alignment horizontal="center" vertical="center"/>
    </xf>
    <xf numFmtId="166" fontId="10" fillId="4" borderId="3" xfId="1" applyNumberFormat="1" applyFont="1" applyFill="1" applyBorder="1" applyAlignment="1">
      <alignment horizontal="center" vertical="center"/>
    </xf>
    <xf numFmtId="167" fontId="10" fillId="4" borderId="3" xfId="3" applyNumberFormat="1" applyFont="1" applyFill="1" applyBorder="1" applyAlignment="1">
      <alignment horizontal="right" vertical="center"/>
    </xf>
    <xf numFmtId="167" fontId="10" fillId="4" borderId="3" xfId="3" applyNumberFormat="1" applyFont="1" applyFill="1" applyBorder="1" applyAlignment="1">
      <alignment horizontal="left" vertical="center"/>
    </xf>
    <xf numFmtId="166" fontId="10" fillId="4" borderId="3" xfId="1" applyNumberFormat="1" applyFont="1" applyFill="1" applyBorder="1" applyAlignment="1">
      <alignment horizontal="left" vertical="center"/>
    </xf>
    <xf numFmtId="0" fontId="11" fillId="4" borderId="3" xfId="0" applyFont="1" applyFill="1" applyBorder="1" applyAlignment="1">
      <alignment vertical="center"/>
    </xf>
    <xf numFmtId="0" fontId="2" fillId="4" borderId="2" xfId="0" applyFont="1" applyFill="1" applyBorder="1" applyAlignment="1">
      <alignment horizontal="center" vertical="center"/>
    </xf>
    <xf numFmtId="0" fontId="2" fillId="0" borderId="2" xfId="0" applyFont="1" applyBorder="1" applyAlignment="1">
      <alignment vertical="center" wrapText="1"/>
    </xf>
    <xf numFmtId="164" fontId="2" fillId="0" borderId="2" xfId="3" applyFont="1" applyBorder="1" applyAlignment="1">
      <alignment horizontal="center" vertical="center"/>
    </xf>
    <xf numFmtId="0" fontId="2" fillId="0" borderId="2" xfId="0" applyFont="1" applyBorder="1" applyAlignment="1">
      <alignment horizontal="center" vertical="center"/>
    </xf>
    <xf numFmtId="0" fontId="19" fillId="0" borderId="2" xfId="0" applyFont="1" applyBorder="1" applyAlignment="1">
      <alignment horizontal="center" vertical="center" wrapText="1"/>
    </xf>
    <xf numFmtId="167" fontId="10" fillId="4" borderId="2" xfId="3" applyNumberFormat="1" applyFont="1" applyFill="1" applyBorder="1" applyAlignment="1">
      <alignment horizontal="right" vertical="center"/>
    </xf>
    <xf numFmtId="167" fontId="10" fillId="4" borderId="2" xfId="3" applyNumberFormat="1" applyFont="1" applyFill="1" applyBorder="1" applyAlignment="1">
      <alignment horizontal="left" vertical="center"/>
    </xf>
    <xf numFmtId="9" fontId="10" fillId="4" borderId="2" xfId="4" applyFont="1" applyFill="1" applyBorder="1" applyAlignment="1">
      <alignment horizontal="center" vertical="center"/>
    </xf>
    <xf numFmtId="0" fontId="20" fillId="4" borderId="2"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0" borderId="2" xfId="0" applyFont="1" applyBorder="1" applyAlignment="1">
      <alignment vertical="center" wrapText="1"/>
    </xf>
    <xf numFmtId="164" fontId="3" fillId="0" borderId="2" xfId="3" applyFont="1" applyBorder="1" applyAlignment="1">
      <alignment horizontal="center" vertical="center"/>
    </xf>
    <xf numFmtId="0" fontId="3" fillId="0" borderId="2" xfId="0" applyFont="1" applyBorder="1" applyAlignment="1">
      <alignment horizontal="center" vertical="center"/>
    </xf>
    <xf numFmtId="0" fontId="17" fillId="0" borderId="2" xfId="0" applyFont="1" applyBorder="1" applyAlignment="1">
      <alignment horizontal="center" vertical="center" wrapText="1"/>
    </xf>
    <xf numFmtId="167" fontId="6" fillId="4" borderId="2" xfId="3" applyNumberFormat="1" applyFont="1" applyFill="1" applyBorder="1" applyAlignment="1">
      <alignment horizontal="right" vertical="center"/>
    </xf>
    <xf numFmtId="9" fontId="6" fillId="4" borderId="2" xfId="4" applyFont="1" applyFill="1" applyBorder="1" applyAlignment="1">
      <alignment horizontal="center" vertical="center"/>
    </xf>
    <xf numFmtId="0" fontId="8" fillId="4" borderId="2" xfId="0" applyFont="1" applyFill="1" applyBorder="1" applyAlignment="1">
      <alignment horizontal="center" vertical="center" wrapText="1"/>
    </xf>
    <xf numFmtId="0" fontId="8" fillId="4" borderId="2" xfId="0" applyFont="1" applyFill="1" applyBorder="1" applyAlignment="1">
      <alignment vertical="center" wrapText="1"/>
    </xf>
    <xf numFmtId="164" fontId="3" fillId="4" borderId="2" xfId="3" applyFont="1" applyFill="1" applyBorder="1" applyAlignment="1">
      <alignment horizontal="center" vertical="center"/>
    </xf>
    <xf numFmtId="166" fontId="6" fillId="4" borderId="2" xfId="1"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6" fillId="4" borderId="2" xfId="0" applyFont="1" applyFill="1" applyBorder="1" applyAlignment="1">
      <alignment horizontal="center" vertical="center"/>
    </xf>
    <xf numFmtId="0" fontId="6" fillId="4" borderId="2" xfId="0" applyFont="1" applyFill="1" applyBorder="1" applyAlignment="1">
      <alignment vertical="center" wrapText="1"/>
    </xf>
    <xf numFmtId="0" fontId="3" fillId="4" borderId="2" xfId="0" applyFont="1" applyFill="1" applyBorder="1" applyAlignment="1">
      <alignment vertical="center" wrapText="1"/>
    </xf>
    <xf numFmtId="0" fontId="2" fillId="4" borderId="2" xfId="0" applyFont="1" applyFill="1" applyBorder="1" applyAlignment="1">
      <alignment vertical="center" wrapText="1"/>
    </xf>
    <xf numFmtId="164" fontId="2" fillId="4" borderId="2" xfId="3" applyFont="1" applyFill="1" applyBorder="1" applyAlignment="1">
      <alignment horizontal="center" vertical="center"/>
    </xf>
    <xf numFmtId="164" fontId="6" fillId="4" borderId="2" xfId="3" applyFont="1" applyFill="1" applyBorder="1" applyAlignment="1">
      <alignment horizontal="center" vertical="center"/>
    </xf>
    <xf numFmtId="0" fontId="9" fillId="4" borderId="2" xfId="0" applyFont="1" applyFill="1" applyBorder="1" applyAlignment="1">
      <alignment vertical="center"/>
    </xf>
    <xf numFmtId="0" fontId="20" fillId="4" borderId="2" xfId="0" applyFont="1" applyFill="1" applyBorder="1" applyAlignment="1">
      <alignment vertical="center" wrapText="1"/>
    </xf>
    <xf numFmtId="0" fontId="3" fillId="4" borderId="4" xfId="0" applyFont="1" applyFill="1" applyBorder="1" applyAlignment="1">
      <alignment horizontal="center" vertical="center"/>
    </xf>
    <xf numFmtId="0" fontId="3" fillId="4" borderId="4" xfId="0" applyFont="1" applyFill="1" applyBorder="1" applyAlignment="1">
      <alignment vertical="center" wrapText="1"/>
    </xf>
    <xf numFmtId="166" fontId="6" fillId="4" borderId="4" xfId="1" applyNumberFormat="1" applyFont="1" applyFill="1" applyBorder="1" applyAlignment="1">
      <alignment horizontal="center" vertical="center"/>
    </xf>
    <xf numFmtId="0" fontId="17" fillId="0" borderId="4" xfId="0" applyFont="1" applyBorder="1" applyAlignment="1">
      <alignment horizontal="center"/>
    </xf>
    <xf numFmtId="167" fontId="6" fillId="4" borderId="4" xfId="3" applyNumberFormat="1" applyFont="1" applyFill="1" applyBorder="1" applyAlignment="1">
      <alignment horizontal="right" vertical="center"/>
    </xf>
    <xf numFmtId="167" fontId="6" fillId="4" borderId="4" xfId="3" applyNumberFormat="1" applyFont="1" applyFill="1" applyBorder="1" applyAlignment="1">
      <alignment horizontal="left" vertical="center"/>
    </xf>
    <xf numFmtId="9" fontId="6" fillId="4" borderId="4" xfId="4" applyFont="1" applyFill="1" applyBorder="1" applyAlignment="1">
      <alignment horizontal="center" vertical="center"/>
    </xf>
    <xf numFmtId="0" fontId="8" fillId="4" borderId="4" xfId="0" applyFont="1" applyFill="1" applyBorder="1" applyAlignment="1">
      <alignment vertical="center" wrapText="1"/>
    </xf>
    <xf numFmtId="0" fontId="0" fillId="4" borderId="2" xfId="0" applyFill="1" applyBorder="1" applyAlignment="1">
      <alignment vertical="center"/>
    </xf>
    <xf numFmtId="0" fontId="0" fillId="4" borderId="2" xfId="0" applyFill="1" applyBorder="1" applyAlignment="1">
      <alignment horizontal="center" vertical="center"/>
    </xf>
    <xf numFmtId="0" fontId="3" fillId="4" borderId="5" xfId="0" applyFont="1" applyFill="1" applyBorder="1" applyAlignment="1">
      <alignment horizontal="center" vertical="center"/>
    </xf>
    <xf numFmtId="0" fontId="3" fillId="4" borderId="5" xfId="0" applyFont="1" applyFill="1" applyBorder="1" applyAlignment="1">
      <alignment vertical="center" wrapText="1"/>
    </xf>
    <xf numFmtId="164" fontId="3" fillId="4" borderId="5" xfId="3" applyFont="1" applyFill="1" applyBorder="1" applyAlignment="1">
      <alignment horizontal="center" vertical="center"/>
    </xf>
    <xf numFmtId="166" fontId="6" fillId="4" borderId="5" xfId="1" applyNumberFormat="1" applyFont="1" applyFill="1" applyBorder="1" applyAlignment="1">
      <alignment horizontal="center" vertical="center"/>
    </xf>
    <xf numFmtId="167" fontId="6" fillId="4" borderId="5" xfId="3" applyNumberFormat="1" applyFont="1" applyFill="1" applyBorder="1" applyAlignment="1">
      <alignment horizontal="right" vertical="center"/>
    </xf>
    <xf numFmtId="167" fontId="6" fillId="4" borderId="5" xfId="3" applyNumberFormat="1" applyFont="1" applyFill="1" applyBorder="1" applyAlignment="1">
      <alignment horizontal="left" vertical="center"/>
    </xf>
    <xf numFmtId="0" fontId="0" fillId="4" borderId="5" xfId="0" applyFill="1" applyBorder="1" applyAlignment="1">
      <alignment vertical="center"/>
    </xf>
    <xf numFmtId="0" fontId="2" fillId="4" borderId="5" xfId="0" applyFont="1" applyFill="1" applyBorder="1" applyAlignment="1">
      <alignment horizontal="center" vertical="center"/>
    </xf>
    <xf numFmtId="0" fontId="2" fillId="4" borderId="5" xfId="0" applyFont="1" applyFill="1" applyBorder="1" applyAlignment="1">
      <alignment vertical="center" wrapText="1"/>
    </xf>
    <xf numFmtId="164" fontId="2" fillId="4" borderId="5" xfId="3" applyFont="1" applyFill="1" applyBorder="1" applyAlignment="1">
      <alignment horizontal="center" vertical="center"/>
    </xf>
    <xf numFmtId="166" fontId="10" fillId="4" borderId="5" xfId="1" applyNumberFormat="1" applyFont="1" applyFill="1" applyBorder="1" applyAlignment="1">
      <alignment horizontal="center" vertical="center"/>
    </xf>
    <xf numFmtId="167" fontId="10" fillId="4" borderId="5" xfId="3" applyNumberFormat="1" applyFont="1" applyFill="1" applyBorder="1" applyAlignment="1">
      <alignment horizontal="right" vertical="center"/>
    </xf>
    <xf numFmtId="167" fontId="10" fillId="4" borderId="5" xfId="3" applyNumberFormat="1" applyFont="1" applyFill="1" applyBorder="1" applyAlignment="1">
      <alignment horizontal="left" vertical="center"/>
    </xf>
    <xf numFmtId="166" fontId="10" fillId="4" borderId="5" xfId="1" applyNumberFormat="1" applyFont="1" applyFill="1" applyBorder="1" applyAlignment="1">
      <alignment horizontal="left" vertical="center"/>
    </xf>
    <xf numFmtId="0" fontId="11" fillId="4" borderId="5" xfId="0" applyFont="1" applyFill="1" applyBorder="1" applyAlignment="1">
      <alignment vertical="center"/>
    </xf>
    <xf numFmtId="4" fontId="10" fillId="4" borderId="1" xfId="0" applyNumberFormat="1" applyFont="1" applyFill="1" applyBorder="1" applyAlignment="1">
      <alignment horizontal="center" vertical="center" wrapText="1"/>
    </xf>
    <xf numFmtId="3" fontId="16" fillId="2"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xf numFmtId="0" fontId="13" fillId="0" borderId="0" xfId="0" applyFont="1" applyAlignment="1">
      <alignment horizontal="center" vertical="center" wrapText="1"/>
    </xf>
  </cellXfs>
  <cellStyles count="5">
    <cellStyle name="Comma" xfId="3" builtinId="3"/>
    <cellStyle name="Comma 2" xfId="1" xr:uid="{00000000-0005-0000-0000-000001000000}"/>
    <cellStyle name="Normal" xfId="0" builtinId="0"/>
    <cellStyle name="Normal 2" xfId="2" xr:uid="{00000000-0005-0000-0000-000003000000}"/>
    <cellStyle name="Percent" xfId="4" builtinId="5"/>
  </cellStyles>
  <dxfs count="2">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92"/>
  <sheetViews>
    <sheetView tabSelected="1" view="pageBreakPreview" zoomScale="85" zoomScaleNormal="85" zoomScaleSheetLayoutView="85" workbookViewId="0">
      <pane xSplit="4" ySplit="7" topLeftCell="E76" activePane="bottomRight" state="frozen"/>
      <selection pane="topRight" activeCell="E1" sqref="E1"/>
      <selection pane="bottomLeft" activeCell="A8" sqref="A8"/>
      <selection pane="bottomRight" activeCell="B79" sqref="B79"/>
    </sheetView>
  </sheetViews>
  <sheetFormatPr defaultColWidth="8.85546875" defaultRowHeight="15" x14ac:dyDescent="0.25"/>
  <cols>
    <col min="1" max="1" width="9.42578125" style="1" customWidth="1"/>
    <col min="2" max="2" width="60.28515625" style="2" customWidth="1"/>
    <col min="3" max="3" width="11.28515625" style="15" customWidth="1"/>
    <col min="4" max="4" width="12.42578125" style="3" customWidth="1"/>
    <col min="5" max="5" width="18.140625" style="3" bestFit="1" customWidth="1"/>
    <col min="6" max="6" width="22.7109375" style="3" bestFit="1" customWidth="1"/>
    <col min="7" max="7" width="16.7109375" style="19" bestFit="1" customWidth="1"/>
    <col min="8" max="8" width="17.85546875" style="1" bestFit="1" customWidth="1"/>
    <col min="9" max="9" width="9.42578125" style="1" customWidth="1"/>
    <col min="10" max="10" width="16.42578125" style="1" bestFit="1" customWidth="1"/>
    <col min="11" max="11" width="18.140625" style="1" customWidth="1"/>
    <col min="12" max="12" width="15.7109375" style="1" customWidth="1"/>
    <col min="13" max="16384" width="8.85546875" style="1"/>
  </cols>
  <sheetData>
    <row r="1" spans="1:12" ht="24.75" customHeight="1" x14ac:dyDescent="0.25">
      <c r="A1" s="97" t="s">
        <v>15</v>
      </c>
      <c r="B1" s="97"/>
      <c r="C1" s="97"/>
      <c r="D1" s="97"/>
      <c r="E1" s="97"/>
      <c r="F1" s="97"/>
      <c r="G1" s="97"/>
      <c r="H1" s="97"/>
      <c r="I1" s="97"/>
      <c r="J1" s="97"/>
      <c r="K1" s="97"/>
      <c r="L1" s="97"/>
    </row>
    <row r="2" spans="1:12" ht="24.75" customHeight="1" x14ac:dyDescent="0.25">
      <c r="A2" s="98" t="s">
        <v>24</v>
      </c>
      <c r="B2" s="98"/>
      <c r="C2" s="98"/>
      <c r="D2" s="98"/>
      <c r="E2" s="98"/>
      <c r="F2" s="98"/>
      <c r="G2" s="98"/>
      <c r="H2" s="98"/>
      <c r="I2" s="98"/>
      <c r="J2" s="98"/>
      <c r="K2" s="98"/>
      <c r="L2" s="98"/>
    </row>
    <row r="3" spans="1:12" ht="24.75" customHeight="1" x14ac:dyDescent="0.25">
      <c r="A3" s="98" t="s">
        <v>25</v>
      </c>
      <c r="B3" s="98"/>
      <c r="C3" s="98"/>
      <c r="D3" s="98"/>
      <c r="E3" s="98"/>
      <c r="F3" s="98"/>
      <c r="G3" s="98"/>
      <c r="H3" s="98"/>
      <c r="I3" s="98"/>
      <c r="J3" s="98"/>
      <c r="K3" s="98"/>
      <c r="L3" s="98"/>
    </row>
    <row r="4" spans="1:12" ht="24.75" customHeight="1" x14ac:dyDescent="0.25">
      <c r="A4" s="99" t="s">
        <v>26</v>
      </c>
      <c r="B4" s="99"/>
      <c r="C4" s="99"/>
      <c r="D4" s="99"/>
      <c r="E4" s="99"/>
      <c r="F4" s="99"/>
      <c r="G4" s="99"/>
      <c r="H4" s="99"/>
      <c r="I4" s="99"/>
      <c r="J4" s="99"/>
      <c r="K4" s="99"/>
      <c r="L4" s="99"/>
    </row>
    <row r="5" spans="1:12" ht="18.75" x14ac:dyDescent="0.25">
      <c r="A5" s="20"/>
      <c r="B5" s="20"/>
      <c r="C5" s="20"/>
      <c r="D5" s="20"/>
      <c r="E5" s="21"/>
      <c r="F5" s="21"/>
      <c r="G5" s="21"/>
      <c r="H5" s="21"/>
      <c r="I5" s="21"/>
      <c r="J5" s="21"/>
      <c r="K5" s="21"/>
      <c r="L5" s="22"/>
    </row>
    <row r="6" spans="1:12" ht="27" customHeight="1" x14ac:dyDescent="0.25">
      <c r="A6" s="95" t="s">
        <v>6</v>
      </c>
      <c r="B6" s="95" t="s">
        <v>7</v>
      </c>
      <c r="C6" s="95" t="s">
        <v>9</v>
      </c>
      <c r="D6" s="95" t="s">
        <v>8</v>
      </c>
      <c r="E6" s="95" t="s">
        <v>3</v>
      </c>
      <c r="F6" s="95" t="s">
        <v>4</v>
      </c>
      <c r="G6" s="95" t="s">
        <v>5</v>
      </c>
      <c r="H6" s="95" t="s">
        <v>10</v>
      </c>
      <c r="I6" s="95" t="s">
        <v>11</v>
      </c>
      <c r="J6" s="95"/>
      <c r="K6" s="95" t="s">
        <v>14</v>
      </c>
      <c r="L6" s="96" t="s">
        <v>2</v>
      </c>
    </row>
    <row r="7" spans="1:12" ht="31.5" customHeight="1" x14ac:dyDescent="0.25">
      <c r="A7" s="95"/>
      <c r="B7" s="95"/>
      <c r="C7" s="95"/>
      <c r="D7" s="95"/>
      <c r="E7" s="95"/>
      <c r="F7" s="95"/>
      <c r="G7" s="95"/>
      <c r="H7" s="95"/>
      <c r="I7" s="23" t="s">
        <v>12</v>
      </c>
      <c r="J7" s="23" t="s">
        <v>13</v>
      </c>
      <c r="K7" s="95"/>
      <c r="L7" s="96"/>
    </row>
    <row r="8" spans="1:12" s="5" customFormat="1" ht="99" customHeight="1" x14ac:dyDescent="0.25">
      <c r="A8" s="31">
        <v>10</v>
      </c>
      <c r="B8" s="32" t="s">
        <v>27</v>
      </c>
      <c r="C8" s="33" t="s">
        <v>0</v>
      </c>
      <c r="D8" s="31" t="s">
        <v>0</v>
      </c>
      <c r="E8" s="34"/>
      <c r="F8" s="34"/>
      <c r="G8" s="35" t="s">
        <v>0</v>
      </c>
      <c r="H8" s="36"/>
      <c r="I8" s="37"/>
      <c r="J8" s="35"/>
      <c r="K8" s="35"/>
      <c r="L8" s="38"/>
    </row>
    <row r="9" spans="1:12" ht="15.75" x14ac:dyDescent="0.25">
      <c r="A9" s="78" t="s">
        <v>28</v>
      </c>
      <c r="B9" s="79" t="s">
        <v>29</v>
      </c>
      <c r="C9" s="80">
        <v>1</v>
      </c>
      <c r="D9" s="78" t="s">
        <v>147</v>
      </c>
      <c r="E9" s="81"/>
      <c r="F9" s="81"/>
      <c r="G9" s="82">
        <v>24207000</v>
      </c>
      <c r="H9" s="83">
        <f>G9*C9</f>
        <v>24207000</v>
      </c>
      <c r="I9" s="54">
        <v>0.08</v>
      </c>
      <c r="J9" s="53">
        <f>I9*H9</f>
        <v>1936560</v>
      </c>
      <c r="K9" s="53">
        <f>+H9+J9</f>
        <v>26143560</v>
      </c>
      <c r="L9" s="84"/>
    </row>
    <row r="10" spans="1:12" ht="31.5" x14ac:dyDescent="0.25">
      <c r="A10" s="78" t="s">
        <v>30</v>
      </c>
      <c r="B10" s="79" t="s">
        <v>31</v>
      </c>
      <c r="C10" s="80">
        <v>1</v>
      </c>
      <c r="D10" s="78" t="s">
        <v>147</v>
      </c>
      <c r="E10" s="81"/>
      <c r="F10" s="81"/>
      <c r="G10" s="82">
        <v>1210000</v>
      </c>
      <c r="H10" s="83">
        <f t="shared" ref="H10:H15" si="0">G10*C10</f>
        <v>1210000</v>
      </c>
      <c r="I10" s="54">
        <v>0.08</v>
      </c>
      <c r="J10" s="53">
        <f t="shared" ref="J10:J15" si="1">I10*H10</f>
        <v>96800</v>
      </c>
      <c r="K10" s="53">
        <f t="shared" ref="K10:K15" si="2">+H10+J10</f>
        <v>1306800</v>
      </c>
      <c r="L10" s="84"/>
    </row>
    <row r="11" spans="1:12" ht="15.75" x14ac:dyDescent="0.25">
      <c r="A11" s="78" t="s">
        <v>32</v>
      </c>
      <c r="B11" s="79" t="s">
        <v>33</v>
      </c>
      <c r="C11" s="80">
        <v>1</v>
      </c>
      <c r="D11" s="78" t="s">
        <v>147</v>
      </c>
      <c r="E11" s="81"/>
      <c r="F11" s="81"/>
      <c r="G11" s="82">
        <v>3026000</v>
      </c>
      <c r="H11" s="83">
        <f t="shared" si="0"/>
        <v>3026000</v>
      </c>
      <c r="I11" s="54">
        <v>0.08</v>
      </c>
      <c r="J11" s="53">
        <f t="shared" si="1"/>
        <v>242080</v>
      </c>
      <c r="K11" s="53">
        <f t="shared" si="2"/>
        <v>3268080</v>
      </c>
      <c r="L11" s="84"/>
    </row>
    <row r="12" spans="1:12" ht="15.75" x14ac:dyDescent="0.25">
      <c r="A12" s="78" t="s">
        <v>34</v>
      </c>
      <c r="B12" s="79" t="s">
        <v>35</v>
      </c>
      <c r="C12" s="80">
        <v>1</v>
      </c>
      <c r="D12" s="78" t="s">
        <v>147</v>
      </c>
      <c r="E12" s="81"/>
      <c r="F12" s="81"/>
      <c r="G12" s="82">
        <v>1210000</v>
      </c>
      <c r="H12" s="83">
        <f t="shared" si="0"/>
        <v>1210000</v>
      </c>
      <c r="I12" s="54">
        <v>0.08</v>
      </c>
      <c r="J12" s="53">
        <f t="shared" si="1"/>
        <v>96800</v>
      </c>
      <c r="K12" s="53">
        <f t="shared" si="2"/>
        <v>1306800</v>
      </c>
      <c r="L12" s="84"/>
    </row>
    <row r="13" spans="1:12" ht="31.5" x14ac:dyDescent="0.25">
      <c r="A13" s="78" t="s">
        <v>36</v>
      </c>
      <c r="B13" s="79" t="s">
        <v>37</v>
      </c>
      <c r="C13" s="80">
        <v>2</v>
      </c>
      <c r="D13" s="78" t="s">
        <v>147</v>
      </c>
      <c r="E13" s="81"/>
      <c r="F13" s="81"/>
      <c r="G13" s="82">
        <v>2421000</v>
      </c>
      <c r="H13" s="83">
        <f t="shared" si="0"/>
        <v>4842000</v>
      </c>
      <c r="I13" s="54">
        <v>0.08</v>
      </c>
      <c r="J13" s="53">
        <f t="shared" si="1"/>
        <v>387360</v>
      </c>
      <c r="K13" s="53">
        <f t="shared" si="2"/>
        <v>5229360</v>
      </c>
      <c r="L13" s="84"/>
    </row>
    <row r="14" spans="1:12" ht="31.5" x14ac:dyDescent="0.25">
      <c r="A14" s="78" t="s">
        <v>38</v>
      </c>
      <c r="B14" s="79" t="s">
        <v>39</v>
      </c>
      <c r="C14" s="80">
        <v>1</v>
      </c>
      <c r="D14" s="78" t="s">
        <v>147</v>
      </c>
      <c r="E14" s="81"/>
      <c r="F14" s="81"/>
      <c r="G14" s="82">
        <v>2421000</v>
      </c>
      <c r="H14" s="83">
        <f t="shared" si="0"/>
        <v>2421000</v>
      </c>
      <c r="I14" s="54">
        <v>0.08</v>
      </c>
      <c r="J14" s="53">
        <f t="shared" si="1"/>
        <v>193680</v>
      </c>
      <c r="K14" s="53">
        <f t="shared" si="2"/>
        <v>2614680</v>
      </c>
      <c r="L14" s="84"/>
    </row>
    <row r="15" spans="1:12" ht="31.5" x14ac:dyDescent="0.25">
      <c r="A15" s="78" t="s">
        <v>40</v>
      </c>
      <c r="B15" s="79" t="s">
        <v>41</v>
      </c>
      <c r="C15" s="80">
        <v>1</v>
      </c>
      <c r="D15" s="78" t="s">
        <v>147</v>
      </c>
      <c r="E15" s="81"/>
      <c r="F15" s="81"/>
      <c r="G15" s="82">
        <v>2421000</v>
      </c>
      <c r="H15" s="83">
        <f t="shared" si="0"/>
        <v>2421000</v>
      </c>
      <c r="I15" s="54">
        <v>0.08</v>
      </c>
      <c r="J15" s="53">
        <f t="shared" si="1"/>
        <v>193680</v>
      </c>
      <c r="K15" s="53">
        <f t="shared" si="2"/>
        <v>2614680</v>
      </c>
      <c r="L15" s="84"/>
    </row>
    <row r="16" spans="1:12" s="5" customFormat="1" ht="87.75" customHeight="1" x14ac:dyDescent="0.25">
      <c r="A16" s="85">
        <v>11</v>
      </c>
      <c r="B16" s="86" t="s">
        <v>42</v>
      </c>
      <c r="C16" s="87" t="s">
        <v>0</v>
      </c>
      <c r="D16" s="85" t="s">
        <v>0</v>
      </c>
      <c r="E16" s="88"/>
      <c r="F16" s="88"/>
      <c r="G16" s="89"/>
      <c r="H16" s="90"/>
      <c r="I16" s="91"/>
      <c r="J16" s="89"/>
      <c r="K16" s="89"/>
      <c r="L16" s="92"/>
    </row>
    <row r="17" spans="1:12" ht="15.75" x14ac:dyDescent="0.25">
      <c r="A17" s="78" t="s">
        <v>43</v>
      </c>
      <c r="B17" s="79" t="s">
        <v>44</v>
      </c>
      <c r="C17" s="80">
        <v>1</v>
      </c>
      <c r="D17" s="78" t="s">
        <v>147</v>
      </c>
      <c r="E17" s="81"/>
      <c r="F17" s="81"/>
      <c r="G17" s="82">
        <v>24207000</v>
      </c>
      <c r="H17" s="83">
        <f t="shared" ref="H17:H23" si="3">G17*C17</f>
        <v>24207000</v>
      </c>
      <c r="I17" s="54">
        <v>0.08</v>
      </c>
      <c r="J17" s="53">
        <f t="shared" ref="J17:J23" si="4">I17*H17</f>
        <v>1936560</v>
      </c>
      <c r="K17" s="53">
        <f t="shared" ref="K17:K23" si="5">+H17+J17</f>
        <v>26143560</v>
      </c>
      <c r="L17" s="84"/>
    </row>
    <row r="18" spans="1:12" ht="15.75" x14ac:dyDescent="0.25">
      <c r="A18" s="78" t="s">
        <v>45</v>
      </c>
      <c r="B18" s="79" t="s">
        <v>46</v>
      </c>
      <c r="C18" s="80">
        <v>5</v>
      </c>
      <c r="D18" s="78" t="s">
        <v>147</v>
      </c>
      <c r="E18" s="81"/>
      <c r="F18" s="81"/>
      <c r="G18" s="82">
        <v>1210400</v>
      </c>
      <c r="H18" s="83">
        <f t="shared" si="3"/>
        <v>6052000</v>
      </c>
      <c r="I18" s="54">
        <v>0.08</v>
      </c>
      <c r="J18" s="53">
        <f t="shared" si="4"/>
        <v>484160</v>
      </c>
      <c r="K18" s="53">
        <f t="shared" si="5"/>
        <v>6536160</v>
      </c>
      <c r="L18" s="84"/>
    </row>
    <row r="19" spans="1:12" ht="15.75" x14ac:dyDescent="0.25">
      <c r="A19" s="78" t="s">
        <v>47</v>
      </c>
      <c r="B19" s="79" t="s">
        <v>48</v>
      </c>
      <c r="C19" s="80">
        <v>1</v>
      </c>
      <c r="D19" s="78" t="s">
        <v>147</v>
      </c>
      <c r="E19" s="81"/>
      <c r="F19" s="81"/>
      <c r="G19" s="82">
        <v>2421000</v>
      </c>
      <c r="H19" s="83">
        <f t="shared" si="3"/>
        <v>2421000</v>
      </c>
      <c r="I19" s="54">
        <v>0.08</v>
      </c>
      <c r="J19" s="53">
        <f t="shared" si="4"/>
        <v>193680</v>
      </c>
      <c r="K19" s="53">
        <f t="shared" si="5"/>
        <v>2614680</v>
      </c>
      <c r="L19" s="84"/>
    </row>
    <row r="20" spans="1:12" ht="15.75" x14ac:dyDescent="0.25">
      <c r="A20" s="78" t="s">
        <v>49</v>
      </c>
      <c r="B20" s="79" t="s">
        <v>18</v>
      </c>
      <c r="C20" s="80">
        <v>1</v>
      </c>
      <c r="D20" s="78" t="s">
        <v>147</v>
      </c>
      <c r="E20" s="81"/>
      <c r="F20" s="81"/>
      <c r="G20" s="82">
        <v>3631000</v>
      </c>
      <c r="H20" s="83">
        <f t="shared" si="3"/>
        <v>3631000</v>
      </c>
      <c r="I20" s="54">
        <v>0.08</v>
      </c>
      <c r="J20" s="53">
        <f t="shared" si="4"/>
        <v>290480</v>
      </c>
      <c r="K20" s="53">
        <f t="shared" si="5"/>
        <v>3921480</v>
      </c>
      <c r="L20" s="84"/>
    </row>
    <row r="21" spans="1:12" ht="15.75" x14ac:dyDescent="0.25">
      <c r="A21" s="78" t="s">
        <v>50</v>
      </c>
      <c r="B21" s="79" t="s">
        <v>51</v>
      </c>
      <c r="C21" s="80">
        <v>1</v>
      </c>
      <c r="D21" s="78" t="s">
        <v>147</v>
      </c>
      <c r="E21" s="81"/>
      <c r="F21" s="81"/>
      <c r="G21" s="82">
        <v>4841000</v>
      </c>
      <c r="H21" s="83">
        <f t="shared" si="3"/>
        <v>4841000</v>
      </c>
      <c r="I21" s="54">
        <v>0.08</v>
      </c>
      <c r="J21" s="53">
        <f t="shared" si="4"/>
        <v>387280</v>
      </c>
      <c r="K21" s="53">
        <f t="shared" si="5"/>
        <v>5228280</v>
      </c>
      <c r="L21" s="84"/>
    </row>
    <row r="22" spans="1:12" ht="31.5" x14ac:dyDescent="0.25">
      <c r="A22" s="78" t="s">
        <v>52</v>
      </c>
      <c r="B22" s="79" t="s">
        <v>53</v>
      </c>
      <c r="C22" s="80">
        <v>1</v>
      </c>
      <c r="D22" s="78" t="s">
        <v>147</v>
      </c>
      <c r="E22" s="81"/>
      <c r="F22" s="81"/>
      <c r="G22" s="82">
        <v>1210000</v>
      </c>
      <c r="H22" s="83">
        <f t="shared" si="3"/>
        <v>1210000</v>
      </c>
      <c r="I22" s="54">
        <v>0.08</v>
      </c>
      <c r="J22" s="53">
        <f t="shared" si="4"/>
        <v>96800</v>
      </c>
      <c r="K22" s="53">
        <f t="shared" si="5"/>
        <v>1306800</v>
      </c>
      <c r="L22" s="84"/>
    </row>
    <row r="23" spans="1:12" ht="15.75" x14ac:dyDescent="0.25">
      <c r="A23" s="78" t="s">
        <v>54</v>
      </c>
      <c r="B23" s="79" t="s">
        <v>55</v>
      </c>
      <c r="C23" s="80">
        <v>1</v>
      </c>
      <c r="D23" s="78" t="s">
        <v>147</v>
      </c>
      <c r="E23" s="81"/>
      <c r="F23" s="81"/>
      <c r="G23" s="82">
        <v>3631000</v>
      </c>
      <c r="H23" s="83">
        <f t="shared" si="3"/>
        <v>3631000</v>
      </c>
      <c r="I23" s="54">
        <v>0.08</v>
      </c>
      <c r="J23" s="53">
        <f t="shared" si="4"/>
        <v>290480</v>
      </c>
      <c r="K23" s="53">
        <f t="shared" si="5"/>
        <v>3921480</v>
      </c>
      <c r="L23" s="84"/>
    </row>
    <row r="24" spans="1:12" s="5" customFormat="1" ht="84.75" customHeight="1" x14ac:dyDescent="0.25">
      <c r="A24" s="85">
        <v>105</v>
      </c>
      <c r="B24" s="86" t="s">
        <v>56</v>
      </c>
      <c r="C24" s="87" t="s">
        <v>0</v>
      </c>
      <c r="D24" s="85" t="s">
        <v>0</v>
      </c>
      <c r="E24" s="88"/>
      <c r="F24" s="88"/>
      <c r="G24" s="89"/>
      <c r="H24" s="90"/>
      <c r="I24" s="91"/>
      <c r="J24" s="89"/>
      <c r="K24" s="89"/>
      <c r="L24" s="92"/>
    </row>
    <row r="25" spans="1:12" ht="20.25" customHeight="1" x14ac:dyDescent="0.25">
      <c r="A25" s="78" t="s">
        <v>57</v>
      </c>
      <c r="B25" s="79" t="s">
        <v>58</v>
      </c>
      <c r="C25" s="80">
        <v>1</v>
      </c>
      <c r="D25" s="78" t="s">
        <v>19</v>
      </c>
      <c r="E25" s="81" t="s">
        <v>152</v>
      </c>
      <c r="F25" s="81" t="s">
        <v>151</v>
      </c>
      <c r="G25" s="82">
        <v>90776000</v>
      </c>
      <c r="H25" s="83">
        <f t="shared" ref="H25:H42" si="6">G25*C25</f>
        <v>90776000</v>
      </c>
      <c r="I25" s="54">
        <v>0.08</v>
      </c>
      <c r="J25" s="53">
        <f t="shared" ref="J25:J42" si="7">I25*H25</f>
        <v>7262080</v>
      </c>
      <c r="K25" s="53">
        <f t="shared" ref="K25:K42" si="8">+H25+J25</f>
        <v>98038080</v>
      </c>
      <c r="L25" s="84"/>
    </row>
    <row r="26" spans="1:12" ht="57" customHeight="1" x14ac:dyDescent="0.25">
      <c r="A26" s="78" t="s">
        <v>59</v>
      </c>
      <c r="B26" s="79" t="s">
        <v>60</v>
      </c>
      <c r="C26" s="80">
        <v>1</v>
      </c>
      <c r="D26" s="78" t="s">
        <v>147</v>
      </c>
      <c r="E26" s="81" t="s">
        <v>162</v>
      </c>
      <c r="F26" s="81" t="s">
        <v>163</v>
      </c>
      <c r="G26" s="82">
        <v>123455000</v>
      </c>
      <c r="H26" s="83">
        <f t="shared" si="6"/>
        <v>123455000</v>
      </c>
      <c r="I26" s="54">
        <v>0.08</v>
      </c>
      <c r="J26" s="53">
        <f t="shared" si="7"/>
        <v>9876400</v>
      </c>
      <c r="K26" s="53">
        <f t="shared" si="8"/>
        <v>133331400</v>
      </c>
      <c r="L26" s="84"/>
    </row>
    <row r="27" spans="1:12" ht="24" customHeight="1" x14ac:dyDescent="0.25">
      <c r="A27" s="78" t="s">
        <v>61</v>
      </c>
      <c r="B27" s="79" t="s">
        <v>62</v>
      </c>
      <c r="C27" s="80">
        <v>1</v>
      </c>
      <c r="D27" s="78" t="s">
        <v>147</v>
      </c>
      <c r="E27" s="81" t="s">
        <v>154</v>
      </c>
      <c r="F27" s="81" t="s">
        <v>153</v>
      </c>
      <c r="G27" s="82">
        <v>302585000</v>
      </c>
      <c r="H27" s="83">
        <f t="shared" si="6"/>
        <v>302585000</v>
      </c>
      <c r="I27" s="54">
        <v>0.08</v>
      </c>
      <c r="J27" s="53">
        <f t="shared" si="7"/>
        <v>24206800</v>
      </c>
      <c r="K27" s="53">
        <f t="shared" si="8"/>
        <v>326791800</v>
      </c>
      <c r="L27" s="84"/>
    </row>
    <row r="28" spans="1:12" ht="66.75" customHeight="1" x14ac:dyDescent="0.25">
      <c r="A28" s="78" t="s">
        <v>63</v>
      </c>
      <c r="B28" s="79" t="s">
        <v>64</v>
      </c>
      <c r="C28" s="80">
        <v>2</v>
      </c>
      <c r="D28" s="78" t="s">
        <v>20</v>
      </c>
      <c r="E28" s="81"/>
      <c r="F28" s="81" t="s">
        <v>161</v>
      </c>
      <c r="G28" s="82">
        <v>12708500</v>
      </c>
      <c r="H28" s="83">
        <f t="shared" si="6"/>
        <v>25417000</v>
      </c>
      <c r="I28" s="54">
        <v>0.08</v>
      </c>
      <c r="J28" s="53">
        <f t="shared" si="7"/>
        <v>2033360</v>
      </c>
      <c r="K28" s="53">
        <f t="shared" si="8"/>
        <v>27450360</v>
      </c>
      <c r="L28" s="84"/>
    </row>
    <row r="29" spans="1:12" ht="66.75" customHeight="1" x14ac:dyDescent="0.25">
      <c r="A29" s="78" t="s">
        <v>65</v>
      </c>
      <c r="B29" s="79" t="s">
        <v>66</v>
      </c>
      <c r="C29" s="80">
        <v>3</v>
      </c>
      <c r="D29" s="78" t="s">
        <v>20</v>
      </c>
      <c r="E29" s="81"/>
      <c r="F29" s="81" t="s">
        <v>159</v>
      </c>
      <c r="G29" s="82">
        <v>12708667</v>
      </c>
      <c r="H29" s="83">
        <f t="shared" si="6"/>
        <v>38126001</v>
      </c>
      <c r="I29" s="54">
        <v>0.08</v>
      </c>
      <c r="J29" s="53">
        <f t="shared" si="7"/>
        <v>3050080.08</v>
      </c>
      <c r="K29" s="53">
        <f t="shared" si="8"/>
        <v>41176081.079999998</v>
      </c>
      <c r="L29" s="84"/>
    </row>
    <row r="30" spans="1:12" ht="31.5" x14ac:dyDescent="0.25">
      <c r="A30" s="78" t="s">
        <v>67</v>
      </c>
      <c r="B30" s="79" t="s">
        <v>68</v>
      </c>
      <c r="C30" s="80">
        <v>3</v>
      </c>
      <c r="D30" s="78" t="s">
        <v>20</v>
      </c>
      <c r="E30" s="81"/>
      <c r="F30" s="81" t="s">
        <v>159</v>
      </c>
      <c r="G30" s="82">
        <v>8472333</v>
      </c>
      <c r="H30" s="83">
        <f t="shared" si="6"/>
        <v>25416999</v>
      </c>
      <c r="I30" s="54">
        <v>0.08</v>
      </c>
      <c r="J30" s="53">
        <f t="shared" si="7"/>
        <v>2033359.9200000002</v>
      </c>
      <c r="K30" s="53">
        <f t="shared" si="8"/>
        <v>27450358.920000002</v>
      </c>
      <c r="L30" s="84"/>
    </row>
    <row r="31" spans="1:12" ht="31.5" x14ac:dyDescent="0.25">
      <c r="A31" s="78" t="s">
        <v>69</v>
      </c>
      <c r="B31" s="79" t="s">
        <v>70</v>
      </c>
      <c r="C31" s="80">
        <v>120</v>
      </c>
      <c r="D31" s="78" t="s">
        <v>148</v>
      </c>
      <c r="E31" s="81" t="s">
        <v>156</v>
      </c>
      <c r="F31" s="81" t="s">
        <v>155</v>
      </c>
      <c r="G31" s="82">
        <v>30258</v>
      </c>
      <c r="H31" s="83">
        <f t="shared" si="6"/>
        <v>3630960</v>
      </c>
      <c r="I31" s="54">
        <v>0.08</v>
      </c>
      <c r="J31" s="53">
        <f t="shared" si="7"/>
        <v>290476.79999999999</v>
      </c>
      <c r="K31" s="53">
        <f t="shared" si="8"/>
        <v>3921436.8</v>
      </c>
      <c r="L31" s="84"/>
    </row>
    <row r="32" spans="1:12" ht="31.5" x14ac:dyDescent="0.25">
      <c r="A32" s="78" t="s">
        <v>71</v>
      </c>
      <c r="B32" s="79" t="s">
        <v>72</v>
      </c>
      <c r="C32" s="80">
        <v>10</v>
      </c>
      <c r="D32" s="78" t="s">
        <v>149</v>
      </c>
      <c r="E32" s="81" t="s">
        <v>21</v>
      </c>
      <c r="F32" s="81" t="s">
        <v>22</v>
      </c>
      <c r="G32" s="82">
        <v>302600</v>
      </c>
      <c r="H32" s="83">
        <f t="shared" si="6"/>
        <v>3026000</v>
      </c>
      <c r="I32" s="54">
        <v>0.08</v>
      </c>
      <c r="J32" s="53">
        <f t="shared" si="7"/>
        <v>242080</v>
      </c>
      <c r="K32" s="53">
        <f t="shared" si="8"/>
        <v>3268080</v>
      </c>
      <c r="L32" s="84"/>
    </row>
    <row r="33" spans="1:12" ht="31.5" x14ac:dyDescent="0.25">
      <c r="A33" s="78" t="s">
        <v>73</v>
      </c>
      <c r="B33" s="79" t="s">
        <v>74</v>
      </c>
      <c r="C33" s="80">
        <v>2</v>
      </c>
      <c r="D33" s="78" t="s">
        <v>149</v>
      </c>
      <c r="E33" s="81" t="s">
        <v>21</v>
      </c>
      <c r="F33" s="81" t="s">
        <v>22</v>
      </c>
      <c r="G33" s="82">
        <v>423500</v>
      </c>
      <c r="H33" s="83">
        <f t="shared" si="6"/>
        <v>847000</v>
      </c>
      <c r="I33" s="54">
        <v>0.08</v>
      </c>
      <c r="J33" s="53">
        <f t="shared" si="7"/>
        <v>67760</v>
      </c>
      <c r="K33" s="53">
        <f t="shared" si="8"/>
        <v>914760</v>
      </c>
      <c r="L33" s="84"/>
    </row>
    <row r="34" spans="1:12" ht="31.5" x14ac:dyDescent="0.25">
      <c r="A34" s="78" t="s">
        <v>75</v>
      </c>
      <c r="B34" s="79" t="s">
        <v>76</v>
      </c>
      <c r="C34" s="80">
        <v>2</v>
      </c>
      <c r="D34" s="78" t="s">
        <v>149</v>
      </c>
      <c r="E34" s="81" t="s">
        <v>21</v>
      </c>
      <c r="F34" s="81" t="s">
        <v>22</v>
      </c>
      <c r="G34" s="82">
        <v>423500</v>
      </c>
      <c r="H34" s="83">
        <f t="shared" si="6"/>
        <v>847000</v>
      </c>
      <c r="I34" s="54">
        <v>0.08</v>
      </c>
      <c r="J34" s="53">
        <f t="shared" si="7"/>
        <v>67760</v>
      </c>
      <c r="K34" s="53">
        <f t="shared" si="8"/>
        <v>914760</v>
      </c>
      <c r="L34" s="84"/>
    </row>
    <row r="35" spans="1:12" ht="15.75" x14ac:dyDescent="0.25">
      <c r="A35" s="78" t="s">
        <v>77</v>
      </c>
      <c r="B35" s="79" t="s">
        <v>78</v>
      </c>
      <c r="C35" s="80">
        <v>100</v>
      </c>
      <c r="D35" s="78" t="s">
        <v>148</v>
      </c>
      <c r="E35" s="81"/>
      <c r="F35" s="81" t="s">
        <v>160</v>
      </c>
      <c r="G35" s="82">
        <v>42360</v>
      </c>
      <c r="H35" s="83">
        <f t="shared" si="6"/>
        <v>4236000</v>
      </c>
      <c r="I35" s="54">
        <v>0.08</v>
      </c>
      <c r="J35" s="53">
        <f t="shared" si="7"/>
        <v>338880</v>
      </c>
      <c r="K35" s="53">
        <f t="shared" si="8"/>
        <v>4574880</v>
      </c>
      <c r="L35" s="84"/>
    </row>
    <row r="36" spans="1:12" ht="15.75" x14ac:dyDescent="0.25">
      <c r="A36" s="78" t="s">
        <v>79</v>
      </c>
      <c r="B36" s="79" t="s">
        <v>80</v>
      </c>
      <c r="C36" s="80">
        <v>6</v>
      </c>
      <c r="D36" s="78" t="s">
        <v>148</v>
      </c>
      <c r="E36" s="81"/>
      <c r="F36" s="81" t="s">
        <v>160</v>
      </c>
      <c r="G36" s="82">
        <v>30333</v>
      </c>
      <c r="H36" s="83">
        <f t="shared" si="6"/>
        <v>181998</v>
      </c>
      <c r="I36" s="54">
        <v>0.08</v>
      </c>
      <c r="J36" s="53">
        <f t="shared" si="7"/>
        <v>14559.84</v>
      </c>
      <c r="K36" s="53">
        <f t="shared" si="8"/>
        <v>196557.84</v>
      </c>
      <c r="L36" s="84"/>
    </row>
    <row r="37" spans="1:12" ht="31.5" x14ac:dyDescent="0.25">
      <c r="A37" s="78" t="s">
        <v>81</v>
      </c>
      <c r="B37" s="79" t="s">
        <v>82</v>
      </c>
      <c r="C37" s="80">
        <v>10</v>
      </c>
      <c r="D37" s="78" t="s">
        <v>149</v>
      </c>
      <c r="E37" s="81"/>
      <c r="F37" s="30" t="s">
        <v>22</v>
      </c>
      <c r="G37" s="82">
        <v>121000</v>
      </c>
      <c r="H37" s="83">
        <f t="shared" si="6"/>
        <v>1210000</v>
      </c>
      <c r="I37" s="54">
        <v>0.08</v>
      </c>
      <c r="J37" s="53">
        <f t="shared" si="7"/>
        <v>96800</v>
      </c>
      <c r="K37" s="53">
        <f t="shared" si="8"/>
        <v>1306800</v>
      </c>
      <c r="L37" s="84"/>
    </row>
    <row r="38" spans="1:12" ht="15.75" x14ac:dyDescent="0.25">
      <c r="A38" s="78" t="s">
        <v>83</v>
      </c>
      <c r="B38" s="79" t="s">
        <v>84</v>
      </c>
      <c r="C38" s="80">
        <v>100</v>
      </c>
      <c r="D38" s="78" t="s">
        <v>148</v>
      </c>
      <c r="E38" s="81"/>
      <c r="F38" s="81" t="s">
        <v>160</v>
      </c>
      <c r="G38" s="82">
        <v>78670</v>
      </c>
      <c r="H38" s="83">
        <f t="shared" si="6"/>
        <v>7867000</v>
      </c>
      <c r="I38" s="54">
        <v>0.08</v>
      </c>
      <c r="J38" s="53">
        <f t="shared" si="7"/>
        <v>629360</v>
      </c>
      <c r="K38" s="53">
        <f t="shared" si="8"/>
        <v>8496360</v>
      </c>
      <c r="L38" s="84"/>
    </row>
    <row r="39" spans="1:12" ht="15.75" x14ac:dyDescent="0.25">
      <c r="A39" s="78" t="s">
        <v>85</v>
      </c>
      <c r="B39" s="79" t="s">
        <v>86</v>
      </c>
      <c r="C39" s="80">
        <v>100</v>
      </c>
      <c r="D39" s="78" t="s">
        <v>148</v>
      </c>
      <c r="E39" s="81"/>
      <c r="F39" s="81" t="s">
        <v>160</v>
      </c>
      <c r="G39" s="82">
        <v>66570</v>
      </c>
      <c r="H39" s="83">
        <f t="shared" si="6"/>
        <v>6657000</v>
      </c>
      <c r="I39" s="54">
        <v>0.08</v>
      </c>
      <c r="J39" s="53">
        <f t="shared" si="7"/>
        <v>532560</v>
      </c>
      <c r="K39" s="53">
        <f t="shared" si="8"/>
        <v>7189560</v>
      </c>
      <c r="L39" s="84"/>
    </row>
    <row r="40" spans="1:12" ht="15.75" x14ac:dyDescent="0.25">
      <c r="A40" s="78" t="s">
        <v>87</v>
      </c>
      <c r="B40" s="79" t="s">
        <v>88</v>
      </c>
      <c r="C40" s="80">
        <v>2</v>
      </c>
      <c r="D40" s="78" t="s">
        <v>147</v>
      </c>
      <c r="E40" s="81"/>
      <c r="F40" s="81" t="s">
        <v>160</v>
      </c>
      <c r="G40" s="82">
        <v>3026000</v>
      </c>
      <c r="H40" s="83">
        <f t="shared" si="6"/>
        <v>6052000</v>
      </c>
      <c r="I40" s="54">
        <v>0.08</v>
      </c>
      <c r="J40" s="53">
        <f t="shared" si="7"/>
        <v>484160</v>
      </c>
      <c r="K40" s="53">
        <f t="shared" si="8"/>
        <v>6536160</v>
      </c>
      <c r="L40" s="84"/>
    </row>
    <row r="41" spans="1:12" ht="15.75" x14ac:dyDescent="0.25">
      <c r="A41" s="78" t="s">
        <v>89</v>
      </c>
      <c r="B41" s="79" t="s">
        <v>90</v>
      </c>
      <c r="C41" s="80">
        <v>5</v>
      </c>
      <c r="D41" s="78" t="s">
        <v>148</v>
      </c>
      <c r="E41" s="81"/>
      <c r="F41" s="81" t="s">
        <v>160</v>
      </c>
      <c r="G41" s="82">
        <v>96800</v>
      </c>
      <c r="H41" s="83">
        <f t="shared" si="6"/>
        <v>484000</v>
      </c>
      <c r="I41" s="54">
        <v>0.08</v>
      </c>
      <c r="J41" s="53">
        <f t="shared" si="7"/>
        <v>38720</v>
      </c>
      <c r="K41" s="53">
        <f t="shared" si="8"/>
        <v>522720</v>
      </c>
      <c r="L41" s="84"/>
    </row>
    <row r="42" spans="1:12" ht="15.75" x14ac:dyDescent="0.25">
      <c r="A42" s="78" t="s">
        <v>91</v>
      </c>
      <c r="B42" s="79" t="s">
        <v>92</v>
      </c>
      <c r="C42" s="80">
        <v>1</v>
      </c>
      <c r="D42" s="78" t="s">
        <v>1</v>
      </c>
      <c r="E42" s="81"/>
      <c r="F42" s="81" t="s">
        <v>160</v>
      </c>
      <c r="G42" s="82">
        <v>6052000</v>
      </c>
      <c r="H42" s="83">
        <f t="shared" si="6"/>
        <v>6052000</v>
      </c>
      <c r="I42" s="54">
        <v>0.08</v>
      </c>
      <c r="J42" s="53">
        <f t="shared" si="7"/>
        <v>484160</v>
      </c>
      <c r="K42" s="53">
        <f t="shared" si="8"/>
        <v>6536160</v>
      </c>
      <c r="L42" s="84"/>
    </row>
    <row r="43" spans="1:12" s="5" customFormat="1" ht="84" customHeight="1" x14ac:dyDescent="0.25">
      <c r="A43" s="85">
        <v>106</v>
      </c>
      <c r="B43" s="86" t="s">
        <v>93</v>
      </c>
      <c r="C43" s="87" t="s">
        <v>0</v>
      </c>
      <c r="D43" s="85" t="s">
        <v>0</v>
      </c>
      <c r="E43" s="88"/>
      <c r="F43" s="88"/>
      <c r="G43" s="89"/>
      <c r="H43" s="90"/>
      <c r="I43" s="91"/>
      <c r="J43" s="89"/>
      <c r="K43" s="89"/>
      <c r="L43" s="92"/>
    </row>
    <row r="44" spans="1:12" ht="15.75" x14ac:dyDescent="0.25">
      <c r="A44" s="78" t="s">
        <v>94</v>
      </c>
      <c r="B44" s="79" t="s">
        <v>95</v>
      </c>
      <c r="C44" s="80">
        <v>2</v>
      </c>
      <c r="D44" s="78" t="s">
        <v>147</v>
      </c>
      <c r="E44" s="81" t="s">
        <v>158</v>
      </c>
      <c r="F44" s="81" t="s">
        <v>157</v>
      </c>
      <c r="G44" s="82">
        <v>4236000</v>
      </c>
      <c r="H44" s="83">
        <f t="shared" ref="H44:H52" si="9">G44*C44</f>
        <v>8472000</v>
      </c>
      <c r="I44" s="54">
        <v>0.08</v>
      </c>
      <c r="J44" s="53">
        <f t="shared" ref="J44:J52" si="10">I44*H44</f>
        <v>677760</v>
      </c>
      <c r="K44" s="53">
        <f t="shared" ref="K44:K52" si="11">+H44+J44</f>
        <v>9149760</v>
      </c>
      <c r="L44" s="84"/>
    </row>
    <row r="45" spans="1:12" ht="15.75" x14ac:dyDescent="0.25">
      <c r="A45" s="78" t="s">
        <v>96</v>
      </c>
      <c r="B45" s="79" t="s">
        <v>84</v>
      </c>
      <c r="C45" s="80">
        <v>80</v>
      </c>
      <c r="D45" s="78" t="s">
        <v>148</v>
      </c>
      <c r="E45" s="81"/>
      <c r="F45" s="81" t="s">
        <v>160</v>
      </c>
      <c r="G45" s="82">
        <v>78675</v>
      </c>
      <c r="H45" s="83">
        <f t="shared" si="9"/>
        <v>6294000</v>
      </c>
      <c r="I45" s="54">
        <v>0.08</v>
      </c>
      <c r="J45" s="53">
        <f t="shared" si="10"/>
        <v>503520</v>
      </c>
      <c r="K45" s="53">
        <f t="shared" si="11"/>
        <v>6797520</v>
      </c>
      <c r="L45" s="84"/>
    </row>
    <row r="46" spans="1:12" ht="15.75" x14ac:dyDescent="0.25">
      <c r="A46" s="78" t="s">
        <v>97</v>
      </c>
      <c r="B46" s="79" t="s">
        <v>86</v>
      </c>
      <c r="C46" s="80">
        <v>150</v>
      </c>
      <c r="D46" s="78" t="s">
        <v>148</v>
      </c>
      <c r="E46" s="81"/>
      <c r="F46" s="81" t="s">
        <v>160</v>
      </c>
      <c r="G46" s="82">
        <v>66567</v>
      </c>
      <c r="H46" s="83">
        <f t="shared" si="9"/>
        <v>9985050</v>
      </c>
      <c r="I46" s="54">
        <v>0.08</v>
      </c>
      <c r="J46" s="53">
        <f t="shared" si="10"/>
        <v>798804</v>
      </c>
      <c r="K46" s="53">
        <f t="shared" si="11"/>
        <v>10783854</v>
      </c>
      <c r="L46" s="84"/>
    </row>
    <row r="47" spans="1:12" ht="31.5" x14ac:dyDescent="0.25">
      <c r="A47" s="78" t="s">
        <v>98</v>
      </c>
      <c r="B47" s="79" t="s">
        <v>99</v>
      </c>
      <c r="C47" s="80">
        <v>10</v>
      </c>
      <c r="D47" s="78" t="s">
        <v>149</v>
      </c>
      <c r="E47" s="81"/>
      <c r="F47" s="30" t="s">
        <v>22</v>
      </c>
      <c r="G47" s="82">
        <v>423600</v>
      </c>
      <c r="H47" s="83">
        <f t="shared" si="9"/>
        <v>4236000</v>
      </c>
      <c r="I47" s="54">
        <v>0.08</v>
      </c>
      <c r="J47" s="53">
        <f t="shared" si="10"/>
        <v>338880</v>
      </c>
      <c r="K47" s="53">
        <f t="shared" si="11"/>
        <v>4574880</v>
      </c>
      <c r="L47" s="84"/>
    </row>
    <row r="48" spans="1:12" ht="47.25" x14ac:dyDescent="0.25">
      <c r="A48" s="78" t="s">
        <v>100</v>
      </c>
      <c r="B48" s="79" t="s">
        <v>101</v>
      </c>
      <c r="C48" s="80">
        <v>80</v>
      </c>
      <c r="D48" s="78" t="s">
        <v>149</v>
      </c>
      <c r="E48" s="81"/>
      <c r="F48" s="30" t="s">
        <v>22</v>
      </c>
      <c r="G48" s="82">
        <v>423625</v>
      </c>
      <c r="H48" s="83">
        <f t="shared" si="9"/>
        <v>33890000</v>
      </c>
      <c r="I48" s="54">
        <v>0.08</v>
      </c>
      <c r="J48" s="53">
        <f t="shared" si="10"/>
        <v>2711200</v>
      </c>
      <c r="K48" s="53">
        <f t="shared" si="11"/>
        <v>36601200</v>
      </c>
      <c r="L48" s="84"/>
    </row>
    <row r="49" spans="1:12" ht="31.5" x14ac:dyDescent="0.25">
      <c r="A49" s="78" t="s">
        <v>102</v>
      </c>
      <c r="B49" s="79" t="s">
        <v>82</v>
      </c>
      <c r="C49" s="80">
        <v>15</v>
      </c>
      <c r="D49" s="78" t="s">
        <v>149</v>
      </c>
      <c r="E49" s="81"/>
      <c r="F49" s="30" t="s">
        <v>22</v>
      </c>
      <c r="G49" s="82">
        <v>121067</v>
      </c>
      <c r="H49" s="83">
        <f t="shared" si="9"/>
        <v>1816005</v>
      </c>
      <c r="I49" s="54">
        <v>0.08</v>
      </c>
      <c r="J49" s="53">
        <f t="shared" si="10"/>
        <v>145280.4</v>
      </c>
      <c r="K49" s="53">
        <f t="shared" si="11"/>
        <v>1961285.4</v>
      </c>
      <c r="L49" s="84"/>
    </row>
    <row r="50" spans="1:12" ht="31.5" x14ac:dyDescent="0.25">
      <c r="A50" s="78" t="s">
        <v>103</v>
      </c>
      <c r="B50" s="79" t="s">
        <v>104</v>
      </c>
      <c r="C50" s="80">
        <v>1</v>
      </c>
      <c r="D50" s="78" t="s">
        <v>150</v>
      </c>
      <c r="E50" s="81"/>
      <c r="F50" s="81" t="s">
        <v>160</v>
      </c>
      <c r="G50" s="82">
        <v>12103000</v>
      </c>
      <c r="H50" s="83">
        <f t="shared" si="9"/>
        <v>12103000</v>
      </c>
      <c r="I50" s="54">
        <v>0.08</v>
      </c>
      <c r="J50" s="53">
        <f t="shared" si="10"/>
        <v>968240</v>
      </c>
      <c r="K50" s="53">
        <f t="shared" si="11"/>
        <v>13071240</v>
      </c>
      <c r="L50" s="84"/>
    </row>
    <row r="51" spans="1:12" ht="15.75" x14ac:dyDescent="0.25">
      <c r="A51" s="78" t="s">
        <v>105</v>
      </c>
      <c r="B51" s="79" t="s">
        <v>106</v>
      </c>
      <c r="C51" s="80">
        <v>1</v>
      </c>
      <c r="D51" s="78" t="s">
        <v>150</v>
      </c>
      <c r="E51" s="81"/>
      <c r="F51" s="81" t="s">
        <v>160</v>
      </c>
      <c r="G51" s="82">
        <v>6052000</v>
      </c>
      <c r="H51" s="83">
        <f t="shared" si="9"/>
        <v>6052000</v>
      </c>
      <c r="I51" s="54">
        <v>0.08</v>
      </c>
      <c r="J51" s="53">
        <f t="shared" si="10"/>
        <v>484160</v>
      </c>
      <c r="K51" s="53">
        <f t="shared" si="11"/>
        <v>6536160</v>
      </c>
      <c r="L51" s="84"/>
    </row>
    <row r="52" spans="1:12" ht="31.5" x14ac:dyDescent="0.25">
      <c r="A52" s="78" t="s">
        <v>107</v>
      </c>
      <c r="B52" s="79" t="s">
        <v>108</v>
      </c>
      <c r="C52" s="80">
        <v>1</v>
      </c>
      <c r="D52" s="78" t="s">
        <v>150</v>
      </c>
      <c r="E52" s="81"/>
      <c r="F52" s="30" t="s">
        <v>22</v>
      </c>
      <c r="G52" s="82">
        <v>12103000</v>
      </c>
      <c r="H52" s="83">
        <f t="shared" si="9"/>
        <v>12103000</v>
      </c>
      <c r="I52" s="54">
        <v>0.08</v>
      </c>
      <c r="J52" s="53">
        <f t="shared" si="10"/>
        <v>968240</v>
      </c>
      <c r="K52" s="53">
        <f t="shared" si="11"/>
        <v>13071240</v>
      </c>
      <c r="L52" s="84"/>
    </row>
    <row r="53" spans="1:12" s="5" customFormat="1" ht="87" customHeight="1" x14ac:dyDescent="0.25">
      <c r="A53" s="39">
        <v>107</v>
      </c>
      <c r="B53" s="40" t="s">
        <v>109</v>
      </c>
      <c r="C53" s="41" t="s">
        <v>0</v>
      </c>
      <c r="D53" s="42" t="s">
        <v>0</v>
      </c>
      <c r="E53" s="43"/>
      <c r="F53" s="43"/>
      <c r="G53" s="44"/>
      <c r="H53" s="45"/>
      <c r="I53" s="46"/>
      <c r="J53" s="44"/>
      <c r="K53" s="44"/>
      <c r="L53" s="47"/>
    </row>
    <row r="54" spans="1:12" ht="15.75" x14ac:dyDescent="0.25">
      <c r="A54" s="48" t="s">
        <v>110</v>
      </c>
      <c r="B54" s="49" t="s">
        <v>111</v>
      </c>
      <c r="C54" s="50">
        <v>1</v>
      </c>
      <c r="D54" s="51" t="s">
        <v>147</v>
      </c>
      <c r="E54" s="81" t="s">
        <v>152</v>
      </c>
      <c r="F54" s="81" t="s">
        <v>151</v>
      </c>
      <c r="G54" s="53">
        <v>90776000</v>
      </c>
      <c r="H54" s="83">
        <f t="shared" ref="H54:H61" si="12">G54*C54</f>
        <v>90776000</v>
      </c>
      <c r="I54" s="54">
        <v>0.08</v>
      </c>
      <c r="J54" s="53">
        <f t="shared" ref="J54:J61" si="13">I54*H54</f>
        <v>7262080</v>
      </c>
      <c r="K54" s="53">
        <f t="shared" ref="K54:K61" si="14">+H54+J54</f>
        <v>98038080</v>
      </c>
      <c r="L54" s="55"/>
    </row>
    <row r="55" spans="1:12" ht="31.5" x14ac:dyDescent="0.25">
      <c r="A55" s="48" t="s">
        <v>112</v>
      </c>
      <c r="B55" s="49" t="s">
        <v>113</v>
      </c>
      <c r="C55" s="50">
        <v>1</v>
      </c>
      <c r="D55" s="51" t="s">
        <v>20</v>
      </c>
      <c r="E55" s="81"/>
      <c r="F55" s="81" t="s">
        <v>159</v>
      </c>
      <c r="G55" s="53">
        <v>12709000</v>
      </c>
      <c r="H55" s="83">
        <f t="shared" si="12"/>
        <v>12709000</v>
      </c>
      <c r="I55" s="54">
        <v>0.08</v>
      </c>
      <c r="J55" s="53">
        <f t="shared" si="13"/>
        <v>1016720</v>
      </c>
      <c r="K55" s="53">
        <f t="shared" si="14"/>
        <v>13725720</v>
      </c>
      <c r="L55" s="56"/>
    </row>
    <row r="56" spans="1:12" ht="31.5" x14ac:dyDescent="0.25">
      <c r="A56" s="48" t="s">
        <v>114</v>
      </c>
      <c r="B56" s="49" t="s">
        <v>68</v>
      </c>
      <c r="C56" s="57">
        <v>1</v>
      </c>
      <c r="D56" s="48" t="s">
        <v>20</v>
      </c>
      <c r="E56" s="81"/>
      <c r="F56" s="81" t="s">
        <v>159</v>
      </c>
      <c r="G56" s="53">
        <v>8472000</v>
      </c>
      <c r="H56" s="83">
        <f t="shared" si="12"/>
        <v>8472000</v>
      </c>
      <c r="I56" s="54">
        <v>0.08</v>
      </c>
      <c r="J56" s="53">
        <f t="shared" si="13"/>
        <v>677760</v>
      </c>
      <c r="K56" s="53">
        <f t="shared" si="14"/>
        <v>9149760</v>
      </c>
      <c r="L56" s="56"/>
    </row>
    <row r="57" spans="1:12" ht="31.5" x14ac:dyDescent="0.25">
      <c r="A57" s="48" t="s">
        <v>115</v>
      </c>
      <c r="B57" s="49" t="s">
        <v>116</v>
      </c>
      <c r="C57" s="57">
        <v>6</v>
      </c>
      <c r="D57" s="48" t="s">
        <v>149</v>
      </c>
      <c r="E57" s="59"/>
      <c r="F57" s="30" t="s">
        <v>22</v>
      </c>
      <c r="G57" s="53">
        <v>302667</v>
      </c>
      <c r="H57" s="83">
        <f t="shared" si="12"/>
        <v>1816002</v>
      </c>
      <c r="I57" s="54">
        <v>0.08</v>
      </c>
      <c r="J57" s="53">
        <f t="shared" si="13"/>
        <v>145280.16</v>
      </c>
      <c r="K57" s="53">
        <f t="shared" si="14"/>
        <v>1961282.16</v>
      </c>
      <c r="L57" s="76"/>
    </row>
    <row r="58" spans="1:12" ht="15.75" x14ac:dyDescent="0.25">
      <c r="A58" s="48" t="s">
        <v>117</v>
      </c>
      <c r="B58" s="49" t="s">
        <v>118</v>
      </c>
      <c r="C58" s="57">
        <v>2</v>
      </c>
      <c r="D58" s="48" t="s">
        <v>149</v>
      </c>
      <c r="E58" s="52"/>
      <c r="F58" s="30" t="s">
        <v>22</v>
      </c>
      <c r="G58" s="53">
        <v>121000</v>
      </c>
      <c r="H58" s="83">
        <f t="shared" si="12"/>
        <v>242000</v>
      </c>
      <c r="I58" s="54">
        <v>0.08</v>
      </c>
      <c r="J58" s="53">
        <f t="shared" si="13"/>
        <v>19360</v>
      </c>
      <c r="K58" s="53">
        <f t="shared" si="14"/>
        <v>261360</v>
      </c>
      <c r="L58" s="55"/>
    </row>
    <row r="59" spans="1:12" ht="15.75" x14ac:dyDescent="0.25">
      <c r="A59" s="48" t="s">
        <v>119</v>
      </c>
      <c r="B59" s="49" t="s">
        <v>86</v>
      </c>
      <c r="C59" s="57">
        <v>50</v>
      </c>
      <c r="D59" s="48" t="s">
        <v>148</v>
      </c>
      <c r="E59" s="77"/>
      <c r="F59" s="81" t="s">
        <v>160</v>
      </c>
      <c r="G59" s="53">
        <v>66560</v>
      </c>
      <c r="H59" s="83">
        <f t="shared" si="12"/>
        <v>3328000</v>
      </c>
      <c r="I59" s="54">
        <v>0.08</v>
      </c>
      <c r="J59" s="53">
        <f t="shared" si="13"/>
        <v>266240</v>
      </c>
      <c r="K59" s="53">
        <f t="shared" si="14"/>
        <v>3594240</v>
      </c>
      <c r="L59" s="76"/>
    </row>
    <row r="60" spans="1:12" ht="15.75" x14ac:dyDescent="0.25">
      <c r="A60" s="60" t="s">
        <v>120</v>
      </c>
      <c r="B60" s="61" t="s">
        <v>121</v>
      </c>
      <c r="C60" s="57">
        <v>6</v>
      </c>
      <c r="D60" s="48" t="s">
        <v>147</v>
      </c>
      <c r="E60" s="58"/>
      <c r="F60" s="81" t="s">
        <v>160</v>
      </c>
      <c r="G60" s="53">
        <v>2178667</v>
      </c>
      <c r="H60" s="83">
        <f t="shared" si="12"/>
        <v>13072002</v>
      </c>
      <c r="I60" s="54">
        <v>0.08</v>
      </c>
      <c r="J60" s="53">
        <f t="shared" si="13"/>
        <v>1045760.16</v>
      </c>
      <c r="K60" s="53">
        <f t="shared" si="14"/>
        <v>14117762.16</v>
      </c>
      <c r="L60" s="76"/>
    </row>
    <row r="61" spans="1:12" ht="15.75" x14ac:dyDescent="0.25">
      <c r="A61" s="48" t="s">
        <v>122</v>
      </c>
      <c r="B61" s="62" t="s">
        <v>123</v>
      </c>
      <c r="C61" s="57">
        <v>1</v>
      </c>
      <c r="D61" s="48" t="s">
        <v>150</v>
      </c>
      <c r="E61" s="52"/>
      <c r="F61" s="52"/>
      <c r="G61" s="53">
        <v>242000</v>
      </c>
      <c r="H61" s="83">
        <f t="shared" si="12"/>
        <v>242000</v>
      </c>
      <c r="I61" s="54">
        <v>0.08</v>
      </c>
      <c r="J61" s="53">
        <f t="shared" si="13"/>
        <v>19360</v>
      </c>
      <c r="K61" s="53">
        <f t="shared" si="14"/>
        <v>261360</v>
      </c>
      <c r="L61" s="55"/>
    </row>
    <row r="62" spans="1:12" s="5" customFormat="1" ht="93" customHeight="1" x14ac:dyDescent="0.25">
      <c r="A62" s="39">
        <v>108</v>
      </c>
      <c r="B62" s="63" t="s">
        <v>124</v>
      </c>
      <c r="C62" s="64" t="s">
        <v>0</v>
      </c>
      <c r="D62" s="39" t="s">
        <v>0</v>
      </c>
      <c r="E62" s="43"/>
      <c r="F62" s="43"/>
      <c r="G62" s="44"/>
      <c r="H62" s="45"/>
      <c r="I62" s="46"/>
      <c r="J62" s="44"/>
      <c r="K62" s="44"/>
      <c r="L62" s="47"/>
    </row>
    <row r="63" spans="1:12" ht="15.75" x14ac:dyDescent="0.25">
      <c r="A63" s="48" t="s">
        <v>125</v>
      </c>
      <c r="B63" s="62" t="s">
        <v>111</v>
      </c>
      <c r="C63" s="57">
        <v>1</v>
      </c>
      <c r="D63" s="48" t="s">
        <v>147</v>
      </c>
      <c r="E63" s="81" t="s">
        <v>152</v>
      </c>
      <c r="F63" s="81" t="s">
        <v>151</v>
      </c>
      <c r="G63" s="53">
        <v>90776000</v>
      </c>
      <c r="H63" s="83">
        <f t="shared" ref="H63:H71" si="15">G63*C63</f>
        <v>90776000</v>
      </c>
      <c r="I63" s="54">
        <v>0.08</v>
      </c>
      <c r="J63" s="53">
        <f t="shared" ref="J63:J71" si="16">I63*H63</f>
        <v>7262080</v>
      </c>
      <c r="K63" s="53">
        <f t="shared" ref="K63:K71" si="17">+H63+J63</f>
        <v>98038080</v>
      </c>
      <c r="L63" s="76"/>
    </row>
    <row r="64" spans="1:12" ht="31.5" x14ac:dyDescent="0.25">
      <c r="A64" s="48" t="s">
        <v>126</v>
      </c>
      <c r="B64" s="62" t="s">
        <v>113</v>
      </c>
      <c r="C64" s="57">
        <v>2</v>
      </c>
      <c r="D64" s="48" t="s">
        <v>20</v>
      </c>
      <c r="E64" s="48"/>
      <c r="F64" s="81" t="s">
        <v>159</v>
      </c>
      <c r="G64" s="53">
        <v>12708500</v>
      </c>
      <c r="H64" s="83">
        <f t="shared" si="15"/>
        <v>25417000</v>
      </c>
      <c r="I64" s="54">
        <v>0.08</v>
      </c>
      <c r="J64" s="53">
        <f t="shared" si="16"/>
        <v>2033360</v>
      </c>
      <c r="K64" s="53">
        <f t="shared" si="17"/>
        <v>27450360</v>
      </c>
      <c r="L64" s="56"/>
    </row>
    <row r="65" spans="1:12" ht="31.5" x14ac:dyDescent="0.25">
      <c r="A65" s="48" t="s">
        <v>127</v>
      </c>
      <c r="B65" s="62" t="s">
        <v>68</v>
      </c>
      <c r="C65" s="57">
        <v>1</v>
      </c>
      <c r="D65" s="48" t="s">
        <v>20</v>
      </c>
      <c r="E65" s="58"/>
      <c r="F65" s="81" t="s">
        <v>159</v>
      </c>
      <c r="G65" s="53">
        <v>8472000</v>
      </c>
      <c r="H65" s="83">
        <f t="shared" si="15"/>
        <v>8472000</v>
      </c>
      <c r="I65" s="54">
        <v>0.08</v>
      </c>
      <c r="J65" s="53">
        <f t="shared" si="16"/>
        <v>677760</v>
      </c>
      <c r="K65" s="53">
        <f t="shared" si="17"/>
        <v>9149760</v>
      </c>
      <c r="L65" s="56"/>
    </row>
    <row r="66" spans="1:12" ht="31.5" x14ac:dyDescent="0.25">
      <c r="A66" s="48" t="s">
        <v>128</v>
      </c>
      <c r="B66" s="62" t="s">
        <v>129</v>
      </c>
      <c r="C66" s="57">
        <v>1</v>
      </c>
      <c r="D66" s="48" t="s">
        <v>20</v>
      </c>
      <c r="E66" s="58"/>
      <c r="F66" s="81" t="s">
        <v>159</v>
      </c>
      <c r="G66" s="53">
        <v>1208969</v>
      </c>
      <c r="H66" s="83">
        <f t="shared" si="15"/>
        <v>1208969</v>
      </c>
      <c r="I66" s="54">
        <v>0.08</v>
      </c>
      <c r="J66" s="53">
        <f t="shared" si="16"/>
        <v>96717.52</v>
      </c>
      <c r="K66" s="53">
        <f t="shared" si="17"/>
        <v>1305686.52</v>
      </c>
      <c r="L66" s="56"/>
    </row>
    <row r="67" spans="1:12" ht="31.5" x14ac:dyDescent="0.25">
      <c r="A67" s="48" t="s">
        <v>130</v>
      </c>
      <c r="B67" s="62" t="s">
        <v>116</v>
      </c>
      <c r="C67" s="57">
        <v>8</v>
      </c>
      <c r="D67" s="48" t="s">
        <v>149</v>
      </c>
      <c r="E67" s="58"/>
      <c r="F67" s="30" t="s">
        <v>22</v>
      </c>
      <c r="G67" s="53">
        <v>302625</v>
      </c>
      <c r="H67" s="83">
        <f t="shared" si="15"/>
        <v>2421000</v>
      </c>
      <c r="I67" s="54">
        <v>0.08</v>
      </c>
      <c r="J67" s="53">
        <f t="shared" si="16"/>
        <v>193680</v>
      </c>
      <c r="K67" s="53">
        <f t="shared" si="17"/>
        <v>2614680</v>
      </c>
      <c r="L67" s="56"/>
    </row>
    <row r="68" spans="1:12" ht="15.75" x14ac:dyDescent="0.25">
      <c r="A68" s="48" t="s">
        <v>131</v>
      </c>
      <c r="B68" s="62" t="s">
        <v>118</v>
      </c>
      <c r="C68" s="57">
        <v>1</v>
      </c>
      <c r="D68" s="48" t="s">
        <v>149</v>
      </c>
      <c r="E68" s="48"/>
      <c r="F68" s="30" t="s">
        <v>22</v>
      </c>
      <c r="G68" s="53">
        <v>121000</v>
      </c>
      <c r="H68" s="83">
        <f t="shared" si="15"/>
        <v>121000</v>
      </c>
      <c r="I68" s="54">
        <v>0.08</v>
      </c>
      <c r="J68" s="53">
        <f t="shared" si="16"/>
        <v>9680</v>
      </c>
      <c r="K68" s="53">
        <f t="shared" si="17"/>
        <v>130680</v>
      </c>
      <c r="L68" s="55"/>
    </row>
    <row r="69" spans="1:12" ht="15.75" x14ac:dyDescent="0.25">
      <c r="A69" s="48" t="s">
        <v>132</v>
      </c>
      <c r="B69" s="62" t="s">
        <v>86</v>
      </c>
      <c r="C69" s="57">
        <v>50</v>
      </c>
      <c r="D69" s="48" t="s">
        <v>148</v>
      </c>
      <c r="E69" s="48"/>
      <c r="F69" s="81" t="s">
        <v>160</v>
      </c>
      <c r="G69" s="53">
        <v>66560</v>
      </c>
      <c r="H69" s="83">
        <f t="shared" si="15"/>
        <v>3328000</v>
      </c>
      <c r="I69" s="54">
        <v>0.08</v>
      </c>
      <c r="J69" s="53">
        <f t="shared" si="16"/>
        <v>266240</v>
      </c>
      <c r="K69" s="53">
        <f t="shared" si="17"/>
        <v>3594240</v>
      </c>
      <c r="L69" s="76"/>
    </row>
    <row r="70" spans="1:12" ht="15.75" x14ac:dyDescent="0.25">
      <c r="A70" s="48" t="s">
        <v>133</v>
      </c>
      <c r="B70" s="62" t="s">
        <v>121</v>
      </c>
      <c r="C70" s="57">
        <v>6</v>
      </c>
      <c r="D70" s="48" t="s">
        <v>147</v>
      </c>
      <c r="E70" s="58"/>
      <c r="F70" s="81" t="s">
        <v>160</v>
      </c>
      <c r="G70" s="53">
        <v>2178667</v>
      </c>
      <c r="H70" s="83">
        <f t="shared" si="15"/>
        <v>13072002</v>
      </c>
      <c r="I70" s="54">
        <v>0.08</v>
      </c>
      <c r="J70" s="53">
        <f t="shared" si="16"/>
        <v>1045760.16</v>
      </c>
      <c r="K70" s="53">
        <f t="shared" si="17"/>
        <v>14117762.16</v>
      </c>
      <c r="L70" s="56"/>
    </row>
    <row r="71" spans="1:12" ht="15.75" x14ac:dyDescent="0.25">
      <c r="A71" s="48" t="s">
        <v>134</v>
      </c>
      <c r="B71" s="62" t="s">
        <v>123</v>
      </c>
      <c r="C71" s="57">
        <v>1</v>
      </c>
      <c r="D71" s="48" t="s">
        <v>150</v>
      </c>
      <c r="E71" s="58"/>
      <c r="F71" s="30"/>
      <c r="G71" s="53">
        <v>242000</v>
      </c>
      <c r="H71" s="83">
        <f t="shared" si="15"/>
        <v>242000</v>
      </c>
      <c r="I71" s="54">
        <v>0.08</v>
      </c>
      <c r="J71" s="53">
        <f t="shared" si="16"/>
        <v>19360</v>
      </c>
      <c r="K71" s="53">
        <f t="shared" si="17"/>
        <v>261360</v>
      </c>
      <c r="L71" s="56"/>
    </row>
    <row r="72" spans="1:12" s="5" customFormat="1" ht="76.5" customHeight="1" x14ac:dyDescent="0.25">
      <c r="A72" s="39">
        <v>109</v>
      </c>
      <c r="B72" s="63" t="s">
        <v>135</v>
      </c>
      <c r="C72" s="64" t="s">
        <v>0</v>
      </c>
      <c r="D72" s="39" t="s">
        <v>0</v>
      </c>
      <c r="E72" s="39"/>
      <c r="F72" s="43"/>
      <c r="G72" s="44"/>
      <c r="H72" s="45"/>
      <c r="I72" s="46"/>
      <c r="J72" s="44"/>
      <c r="K72" s="44"/>
      <c r="L72" s="67"/>
    </row>
    <row r="73" spans="1:12" ht="63" x14ac:dyDescent="0.25">
      <c r="A73" s="48" t="s">
        <v>136</v>
      </c>
      <c r="B73" s="62" t="s">
        <v>137</v>
      </c>
      <c r="C73" s="65">
        <v>1</v>
      </c>
      <c r="D73" s="60" t="s">
        <v>147</v>
      </c>
      <c r="E73" s="58" t="s">
        <v>23</v>
      </c>
      <c r="F73" s="30" t="s">
        <v>22</v>
      </c>
      <c r="G73" s="53">
        <v>4236000</v>
      </c>
      <c r="H73" s="83">
        <f t="shared" ref="H73:H80" si="18">G73*C73</f>
        <v>4236000</v>
      </c>
      <c r="I73" s="54">
        <v>0.08</v>
      </c>
      <c r="J73" s="53">
        <f t="shared" ref="J73:J80" si="19">I73*H73</f>
        <v>338880</v>
      </c>
      <c r="K73" s="53">
        <f t="shared" ref="K73:K80" si="20">+H73+J73</f>
        <v>4574880</v>
      </c>
      <c r="L73" s="66"/>
    </row>
    <row r="74" spans="1:12" ht="31.5" x14ac:dyDescent="0.25">
      <c r="A74" s="48" t="s">
        <v>138</v>
      </c>
      <c r="B74" s="62" t="s">
        <v>70</v>
      </c>
      <c r="C74" s="57">
        <v>200</v>
      </c>
      <c r="D74" s="48" t="s">
        <v>148</v>
      </c>
      <c r="E74" s="81" t="s">
        <v>156</v>
      </c>
      <c r="F74" s="81" t="s">
        <v>155</v>
      </c>
      <c r="G74" s="53">
        <v>30260</v>
      </c>
      <c r="H74" s="83">
        <f t="shared" si="18"/>
        <v>6052000</v>
      </c>
      <c r="I74" s="54">
        <v>0.08</v>
      </c>
      <c r="J74" s="53">
        <f t="shared" si="19"/>
        <v>484160</v>
      </c>
      <c r="K74" s="53">
        <f t="shared" si="20"/>
        <v>6536160</v>
      </c>
      <c r="L74" s="76"/>
    </row>
    <row r="75" spans="1:12" ht="15.75" x14ac:dyDescent="0.25">
      <c r="A75" s="48" t="s">
        <v>139</v>
      </c>
      <c r="B75" s="62" t="s">
        <v>140</v>
      </c>
      <c r="C75" s="57">
        <v>6</v>
      </c>
      <c r="D75" s="48" t="s">
        <v>149</v>
      </c>
      <c r="E75" s="58"/>
      <c r="F75" s="30" t="s">
        <v>22</v>
      </c>
      <c r="G75" s="53">
        <v>302667</v>
      </c>
      <c r="H75" s="83">
        <f t="shared" si="18"/>
        <v>1816002</v>
      </c>
      <c r="I75" s="54">
        <v>0.08</v>
      </c>
      <c r="J75" s="53">
        <f t="shared" si="19"/>
        <v>145280.16</v>
      </c>
      <c r="K75" s="53">
        <f t="shared" si="20"/>
        <v>1961282.16</v>
      </c>
      <c r="L75" s="76"/>
    </row>
    <row r="76" spans="1:12" ht="15.75" x14ac:dyDescent="0.25">
      <c r="A76" s="48" t="s">
        <v>141</v>
      </c>
      <c r="B76" s="62" t="s">
        <v>78</v>
      </c>
      <c r="C76" s="57">
        <v>165</v>
      </c>
      <c r="D76" s="48" t="s">
        <v>148</v>
      </c>
      <c r="E76" s="58"/>
      <c r="F76" s="30"/>
      <c r="G76" s="53">
        <v>42364</v>
      </c>
      <c r="H76" s="83">
        <f t="shared" si="18"/>
        <v>6990060</v>
      </c>
      <c r="I76" s="54">
        <v>0.08</v>
      </c>
      <c r="J76" s="53">
        <f t="shared" si="19"/>
        <v>559204.80000000005</v>
      </c>
      <c r="K76" s="53">
        <f t="shared" si="20"/>
        <v>7549264.7999999998</v>
      </c>
      <c r="L76" s="76"/>
    </row>
    <row r="77" spans="1:12" ht="47.25" x14ac:dyDescent="0.25">
      <c r="A77" s="48" t="s">
        <v>142</v>
      </c>
      <c r="B77" s="62" t="s">
        <v>143</v>
      </c>
      <c r="C77" s="57">
        <v>2</v>
      </c>
      <c r="D77" s="48" t="s">
        <v>149</v>
      </c>
      <c r="E77" s="48"/>
      <c r="F77" s="30" t="s">
        <v>22</v>
      </c>
      <c r="G77" s="53">
        <v>6051500</v>
      </c>
      <c r="H77" s="83">
        <f t="shared" si="18"/>
        <v>12103000</v>
      </c>
      <c r="I77" s="54">
        <v>0.08</v>
      </c>
      <c r="J77" s="53">
        <f t="shared" si="19"/>
        <v>968240</v>
      </c>
      <c r="K77" s="53">
        <f t="shared" si="20"/>
        <v>13071240</v>
      </c>
      <c r="L77" s="76"/>
    </row>
    <row r="78" spans="1:12" ht="36.75" customHeight="1" x14ac:dyDescent="0.25">
      <c r="A78" s="60" t="s">
        <v>144</v>
      </c>
      <c r="B78" s="61" t="s">
        <v>145</v>
      </c>
      <c r="C78" s="57">
        <v>145</v>
      </c>
      <c r="D78" s="48" t="s">
        <v>148</v>
      </c>
      <c r="E78" s="58"/>
      <c r="F78" s="81" t="s">
        <v>160</v>
      </c>
      <c r="G78" s="53">
        <v>36310</v>
      </c>
      <c r="H78" s="83">
        <f t="shared" si="18"/>
        <v>5264950</v>
      </c>
      <c r="I78" s="54">
        <v>0.08</v>
      </c>
      <c r="J78" s="53">
        <f t="shared" si="19"/>
        <v>421196</v>
      </c>
      <c r="K78" s="53">
        <f t="shared" si="20"/>
        <v>5686146</v>
      </c>
      <c r="L78" s="76"/>
    </row>
    <row r="79" spans="1:12" ht="132.75" customHeight="1" x14ac:dyDescent="0.25">
      <c r="A79" s="60">
        <v>114</v>
      </c>
      <c r="B79" s="61" t="s">
        <v>165</v>
      </c>
      <c r="C79" s="57">
        <v>1</v>
      </c>
      <c r="D79" s="48" t="s">
        <v>1</v>
      </c>
      <c r="E79" s="52"/>
      <c r="F79" s="30" t="s">
        <v>22</v>
      </c>
      <c r="G79" s="53">
        <v>150000000</v>
      </c>
      <c r="H79" s="83">
        <f t="shared" si="18"/>
        <v>150000000</v>
      </c>
      <c r="I79" s="54">
        <v>0.08</v>
      </c>
      <c r="J79" s="53">
        <f t="shared" si="19"/>
        <v>12000000</v>
      </c>
      <c r="K79" s="53">
        <f t="shared" si="20"/>
        <v>162000000</v>
      </c>
      <c r="L79" s="76"/>
    </row>
    <row r="80" spans="1:12" ht="69" customHeight="1" x14ac:dyDescent="0.25">
      <c r="A80" s="60">
        <v>115</v>
      </c>
      <c r="B80" s="61" t="s">
        <v>146</v>
      </c>
      <c r="C80" s="57">
        <v>1</v>
      </c>
      <c r="D80" s="48" t="s">
        <v>150</v>
      </c>
      <c r="E80" s="58"/>
      <c r="F80" s="30" t="s">
        <v>22</v>
      </c>
      <c r="G80" s="53">
        <v>200000000</v>
      </c>
      <c r="H80" s="83">
        <f t="shared" si="18"/>
        <v>200000000</v>
      </c>
      <c r="I80" s="54">
        <v>0.08</v>
      </c>
      <c r="J80" s="53">
        <f t="shared" si="19"/>
        <v>16000000</v>
      </c>
      <c r="K80" s="53">
        <f t="shared" si="20"/>
        <v>216000000</v>
      </c>
      <c r="L80" s="56"/>
    </row>
    <row r="81" spans="1:12" ht="10.5" customHeight="1" x14ac:dyDescent="0.25">
      <c r="A81" s="68"/>
      <c r="B81" s="69"/>
      <c r="C81" s="68"/>
      <c r="D81" s="68"/>
      <c r="E81" s="70"/>
      <c r="F81" s="71"/>
      <c r="G81" s="72"/>
      <c r="H81" s="73"/>
      <c r="I81" s="74"/>
      <c r="J81" s="72"/>
      <c r="K81" s="72"/>
      <c r="L81" s="75"/>
    </row>
    <row r="82" spans="1:12" ht="24.75" customHeight="1" x14ac:dyDescent="0.25">
      <c r="A82" s="93" t="s">
        <v>16</v>
      </c>
      <c r="B82" s="93"/>
      <c r="C82" s="93"/>
      <c r="D82" s="93"/>
      <c r="E82" s="93"/>
      <c r="F82" s="93"/>
      <c r="G82" s="93"/>
      <c r="H82" s="24"/>
      <c r="I82" s="25"/>
      <c r="J82" s="26"/>
      <c r="K82" s="24">
        <f>SUM(H8:H81)</f>
        <v>1489325000</v>
      </c>
      <c r="L82" s="27"/>
    </row>
    <row r="83" spans="1:12" ht="24.75" customHeight="1" x14ac:dyDescent="0.25">
      <c r="A83" s="93" t="s">
        <v>11</v>
      </c>
      <c r="B83" s="93"/>
      <c r="C83" s="93"/>
      <c r="D83" s="93"/>
      <c r="E83" s="93"/>
      <c r="F83" s="93"/>
      <c r="G83" s="93"/>
      <c r="H83" s="24"/>
      <c r="I83" s="25"/>
      <c r="J83" s="26"/>
      <c r="K83" s="24">
        <f>SUM(J8:J81)</f>
        <v>119145999.99999997</v>
      </c>
      <c r="L83" s="27"/>
    </row>
    <row r="84" spans="1:12" ht="24.75" customHeight="1" x14ac:dyDescent="0.25">
      <c r="A84" s="93" t="s">
        <v>17</v>
      </c>
      <c r="B84" s="93"/>
      <c r="C84" s="93"/>
      <c r="D84" s="93"/>
      <c r="E84" s="93"/>
      <c r="F84" s="93"/>
      <c r="G84" s="93"/>
      <c r="H84" s="28"/>
      <c r="I84" s="28"/>
      <c r="J84" s="29"/>
      <c r="K84" s="24">
        <f>K82+K83</f>
        <v>1608471000</v>
      </c>
      <c r="L84" s="27"/>
    </row>
    <row r="85" spans="1:12" ht="21.75" customHeight="1" x14ac:dyDescent="0.25">
      <c r="A85" s="94" t="s">
        <v>164</v>
      </c>
      <c r="B85" s="94"/>
      <c r="C85" s="94"/>
      <c r="D85" s="94"/>
      <c r="E85" s="94"/>
      <c r="F85" s="94"/>
      <c r="G85" s="94"/>
      <c r="H85" s="94"/>
      <c r="I85" s="94"/>
      <c r="J85" s="94"/>
      <c r="K85" s="94"/>
      <c r="L85" s="94"/>
    </row>
    <row r="86" spans="1:12" x14ac:dyDescent="0.25">
      <c r="E86" s="8"/>
      <c r="F86" s="8"/>
      <c r="G86" s="16"/>
      <c r="H86" s="7"/>
      <c r="I86" s="7"/>
      <c r="J86" s="7"/>
      <c r="K86" s="7"/>
    </row>
    <row r="87" spans="1:12" x14ac:dyDescent="0.25">
      <c r="G87" s="17"/>
      <c r="H87" s="4"/>
      <c r="I87" s="4"/>
      <c r="J87" s="11"/>
      <c r="K87" s="12"/>
      <c r="L87" s="14"/>
    </row>
    <row r="88" spans="1:12" x14ac:dyDescent="0.25">
      <c r="G88" s="17"/>
      <c r="J88" s="11"/>
      <c r="K88" s="12"/>
      <c r="L88" s="14"/>
    </row>
    <row r="89" spans="1:12" x14ac:dyDescent="0.25">
      <c r="E89" s="9"/>
      <c r="F89" s="9"/>
      <c r="G89" s="17"/>
      <c r="H89" s="4"/>
      <c r="I89" s="4"/>
      <c r="J89" s="11"/>
      <c r="K89" s="12"/>
      <c r="L89" s="14"/>
    </row>
    <row r="90" spans="1:12" x14ac:dyDescent="0.25">
      <c r="G90" s="18"/>
      <c r="J90" s="11"/>
      <c r="K90" s="12"/>
      <c r="L90" s="14"/>
    </row>
    <row r="91" spans="1:12" x14ac:dyDescent="0.25">
      <c r="E91" s="10"/>
      <c r="F91" s="10"/>
      <c r="G91" s="18"/>
      <c r="H91" s="6"/>
      <c r="I91" s="6"/>
      <c r="J91" s="11"/>
      <c r="K91" s="12"/>
      <c r="L91" s="14"/>
    </row>
    <row r="92" spans="1:12" x14ac:dyDescent="0.25">
      <c r="K92" s="13"/>
    </row>
  </sheetData>
  <autoFilter ref="A7:L80" xr:uid="{00000000-0001-0000-0000-000000000000}"/>
  <mergeCells count="19">
    <mergeCell ref="A1:L1"/>
    <mergeCell ref="A2:L2"/>
    <mergeCell ref="A3:L3"/>
    <mergeCell ref="A4:L4"/>
    <mergeCell ref="A6:A7"/>
    <mergeCell ref="B6:B7"/>
    <mergeCell ref="C6:C7"/>
    <mergeCell ref="D6:D7"/>
    <mergeCell ref="E6:E7"/>
    <mergeCell ref="F6:F7"/>
    <mergeCell ref="G6:G7"/>
    <mergeCell ref="H6:H7"/>
    <mergeCell ref="I6:J6"/>
    <mergeCell ref="A82:G82"/>
    <mergeCell ref="A84:G84"/>
    <mergeCell ref="A83:G83"/>
    <mergeCell ref="A85:L85"/>
    <mergeCell ref="K6:K7"/>
    <mergeCell ref="L6:L7"/>
  </mergeCells>
  <phoneticPr fontId="18" type="noConversion"/>
  <conditionalFormatting sqref="H82:H83">
    <cfRule type="expression" dxfId="1" priority="2">
      <formula>$H$94&lt;&gt;$L$94</formula>
    </cfRule>
  </conditionalFormatting>
  <conditionalFormatting sqref="K82:K84">
    <cfRule type="expression" dxfId="0" priority="1">
      <formula>$H$94&lt;&gt;$L$94</formula>
    </cfRule>
  </conditionalFormatting>
  <printOptions horizontalCentered="1"/>
  <pageMargins left="0.18" right="0.17" top="0.34" bottom="0.32" header="0.11" footer="0.14000000000000001"/>
  <pageSetup paperSize="9" scale="63" fitToHeight="0"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Scada_TTLL</vt:lpstr>
      <vt:lpstr>Scada_TTLL!Print_Area</vt:lpstr>
      <vt:lpstr>Scada_TTLL!Print_Titles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2025-03-28T02:44:09Z</dcterms:created>
  <dcterms:modified xsi:type="dcterms:W3CDTF">2026-09-12T04:04:05Z</dcterms:modified>
  <cp:category/>
</cp:coreProperties>
</file>