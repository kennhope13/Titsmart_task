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TNHH Tismart\110kv Rạch Giá 2 - Vĩnh Quang\Hợp đồng Rạch Giá\"/>
    </mc:Choice>
  </mc:AlternateContent>
  <xr:revisionPtr revIDLastSave="0" documentId="8_{07EA1FF7-0E1E-4588-969A-399F16E77DA9}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Scada_TTLL" sheetId="1" r:id="rId1"/>
  </sheets>
  <definedNames>
    <definedName name="_xlnm.Print_Area" localSheetId="0">Scada_TTLL!$A$1:$L$43</definedName>
    <definedName name="_xlnm.Print_Titles" localSheetId="0">Scada_TTLL!$6:$7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K40" i="1"/>
  <c r="H39" i="1"/>
  <c r="J39" i="1" s="1"/>
  <c r="H38" i="1"/>
  <c r="J37" i="1"/>
  <c r="K37" i="1" s="1"/>
  <c r="H37" i="1"/>
  <c r="J36" i="1"/>
  <c r="H36" i="1"/>
  <c r="K36" i="1" s="1"/>
  <c r="H35" i="1"/>
  <c r="K33" i="1"/>
  <c r="J33" i="1"/>
  <c r="H33" i="1"/>
  <c r="J32" i="1"/>
  <c r="K32" i="1" s="1"/>
  <c r="H32" i="1"/>
  <c r="H31" i="1"/>
  <c r="J31" i="1" s="1"/>
  <c r="H29" i="1"/>
  <c r="J29" i="1" s="1"/>
  <c r="H28" i="1"/>
  <c r="J28" i="1" s="1"/>
  <c r="K28" i="1" s="1"/>
  <c r="J27" i="1"/>
  <c r="H27" i="1"/>
  <c r="K27" i="1" s="1"/>
  <c r="H26" i="1"/>
  <c r="H24" i="1"/>
  <c r="K23" i="1"/>
  <c r="J23" i="1"/>
  <c r="H23" i="1"/>
  <c r="J22" i="1"/>
  <c r="K22" i="1" s="1"/>
  <c r="H22" i="1"/>
  <c r="H20" i="1"/>
  <c r="J20" i="1" s="1"/>
  <c r="H19" i="1"/>
  <c r="J19" i="1" s="1"/>
  <c r="K19" i="1" s="1"/>
  <c r="H18" i="1"/>
  <c r="J18" i="1" s="1"/>
  <c r="K18" i="1" s="1"/>
  <c r="J17" i="1"/>
  <c r="H17" i="1"/>
  <c r="K17" i="1" s="1"/>
  <c r="H16" i="1"/>
  <c r="J15" i="1"/>
  <c r="K15" i="1" s="1"/>
  <c r="J14" i="1"/>
  <c r="H14" i="1"/>
  <c r="K14" i="1" s="1"/>
  <c r="H13" i="1"/>
  <c r="H12" i="1"/>
  <c r="K11" i="1"/>
  <c r="J11" i="1"/>
  <c r="H11" i="1"/>
  <c r="J9" i="1"/>
  <c r="K9" i="1" s="1"/>
  <c r="H9" i="1"/>
  <c r="K38" i="1" l="1"/>
  <c r="K16" i="1"/>
  <c r="K29" i="1"/>
  <c r="K39" i="1"/>
  <c r="K20" i="1"/>
  <c r="J24" i="1"/>
  <c r="K24" i="1" s="1"/>
  <c r="K31" i="1"/>
  <c r="J35" i="1"/>
  <c r="K35" i="1" s="1"/>
  <c r="J12" i="1"/>
  <c r="J38" i="1"/>
  <c r="J13" i="1"/>
  <c r="K13" i="1" s="1"/>
  <c r="J16" i="1"/>
  <c r="J26" i="1"/>
  <c r="K26" i="1" s="1"/>
  <c r="K41" i="1" l="1"/>
  <c r="K42" i="1" s="1"/>
  <c r="K12" i="1"/>
</calcChain>
</file>

<file path=xl/sharedStrings.xml><?xml version="1.0" encoding="utf-8"?>
<sst xmlns="http://schemas.openxmlformats.org/spreadsheetml/2006/main" count="149" uniqueCount="91">
  <si>
    <t>PHỤ LỤC 01: BẢNG CHI TIẾT GIÁ TRỊ HỢP ĐỒNG</t>
  </si>
  <si>
    <t>Stt</t>
  </si>
  <si>
    <t>Mô tả công việc mời thầu</t>
  </si>
  <si>
    <t>Khối lượng</t>
  </si>
  <si>
    <t xml:space="preserve">Đơn vị tính </t>
  </si>
  <si>
    <t>Mã hiệu</t>
  </si>
  <si>
    <t>Nguồn sản xuất</t>
  </si>
  <si>
    <t>Đơn giá</t>
  </si>
  <si>
    <t>Thành tiền
trước thuế VAT</t>
  </si>
  <si>
    <t>Thuế VAT</t>
  </si>
  <si>
    <t>Tổng tiền</t>
  </si>
  <si>
    <t>Ghi chú</t>
  </si>
  <si>
    <t>%</t>
  </si>
  <si>
    <t>Tiền thuế</t>
  </si>
  <si>
    <t>HỆ THỐNG SCADA DO BÊN A CUNG CẤP, NHÀ THẦU VẬN CHUYỂN VÀ LẮP ĐẶT HOÀN THIỆN TẠI CÔNG TRƯỜNG</t>
  </si>
  <si>
    <t/>
  </si>
  <si>
    <t>33.1</t>
  </si>
  <si>
    <t>Thiết bị Erthernet switch</t>
  </si>
  <si>
    <t>bộ</t>
  </si>
  <si>
    <t>HỆ THỐNG SCADA DO NHÀ THẦU CUNG CẤP, VẬN CHUYỂN VÀ LẮP ĐẶT HOÀN THIỆN TẠI CÔNG TRÌNH</t>
  </si>
  <si>
    <t>34.1</t>
  </si>
  <si>
    <t>Hàng kẹp tín hiệu</t>
  </si>
  <si>
    <t>cái</t>
  </si>
  <si>
    <t>34.2</t>
  </si>
  <si>
    <t>Cáp điện đơn mềm 1x1,5mm2</t>
  </si>
  <si>
    <t>m</t>
  </si>
  <si>
    <t>34.3</t>
  </si>
  <si>
    <t>Cáp điện đơn mềm 1x2,5mm2</t>
  </si>
  <si>
    <t>34.4</t>
  </si>
  <si>
    <t>Dây nhảy quang Singlemode Duplex pathcord, SM 9/125µm, SC/FC/ST/LC…  (phù hợp thiết bị), dài 20m</t>
  </si>
  <si>
    <t>sợi</t>
  </si>
  <si>
    <t>34.5</t>
  </si>
  <si>
    <t>Dây nhảy Cáp quang multimode Duplex pathcord, MM 50/125µm OM3,  SC/FC/LC/ST... (phù hợp  thiết bị), dài 20m</t>
  </si>
  <si>
    <t>34.6</t>
  </si>
  <si>
    <t>Cáp mạng TCP/IP</t>
  </si>
  <si>
    <t>34.7</t>
  </si>
  <si>
    <t>Ống nhựa ruột gà PVC Ø25</t>
  </si>
  <si>
    <t>34.8</t>
  </si>
  <si>
    <t>Đầu cáp mạng RJ45</t>
  </si>
  <si>
    <t>34.9</t>
  </si>
  <si>
    <t>MCB 110VDC</t>
  </si>
  <si>
    <t>34.10</t>
  </si>
  <si>
    <t>Vật liệu phụ (cổ cáp, gen, coss, băng keo điện, dây gút, ốc vít, nhãn cáp…)</t>
  </si>
  <si>
    <t>T.bộ</t>
  </si>
  <si>
    <t>34.11</t>
  </si>
  <si>
    <t>Phần ngăn lộ hoàn chuyển rơ le trạm 220kV Rạch Giá 2</t>
  </si>
  <si>
    <t>34.11.1</t>
  </si>
  <si>
    <t>34.11.2</t>
  </si>
  <si>
    <t>34.11.3</t>
  </si>
  <si>
    <t>PHẦN HỆ THỐNG TTLL DO NHÀ THẦU CUNG CẤP, VẬN CHUYỂN VÀ LẮP ĐẶT HOÀN THIỆN TẠI CÔNG TRÌNH</t>
  </si>
  <si>
    <t>35.1</t>
  </si>
  <si>
    <t>Thiết bị phối dây quang ODF 1x24: 
- Bao gồm đầy đủ các phụ kiện, vật tư như ống gen nhiệt, dây nhảy pigtail, hộp nhựa gắn dây pigtail, kẹp......</t>
  </si>
  <si>
    <t>Bộ</t>
  </si>
  <si>
    <t>35.2</t>
  </si>
  <si>
    <t>Thiết bị phối dây quang ODF 1x24:</t>
  </si>
  <si>
    <t>35.3</t>
  </si>
  <si>
    <t>Cáp quang Non-metalic (24 sợi SM)</t>
  </si>
  <si>
    <t>35.4</t>
  </si>
  <si>
    <t>Ống nhựa bảo vệ D34</t>
  </si>
  <si>
    <t>35.5</t>
  </si>
  <si>
    <t>35.5.1</t>
  </si>
  <si>
    <t>Thiết bị phối dây quang ODF 1x24</t>
  </si>
  <si>
    <t>35.5.2</t>
  </si>
  <si>
    <t>Hộp nối  - loại 3 đầu ra</t>
  </si>
  <si>
    <t>35.5.3</t>
  </si>
  <si>
    <t>Cáp quang ADSS 24 sợi</t>
  </si>
  <si>
    <t>HỆ THỐNG ĐO XA APPMETER DO NHÀ THẦU CUNG CẤP, VẬN CHUYỂN VÀ LẮP ĐẶT HOÀN THIỆN TẠI CÔNG TRÌNH</t>
  </si>
  <si>
    <t>36.1</t>
  </si>
  <si>
    <t>Cáp mạng SFTPCAT6</t>
  </si>
  <si>
    <t>36.2</t>
  </si>
  <si>
    <t>Connector RS232</t>
  </si>
  <si>
    <t>36.3</t>
  </si>
  <si>
    <t>Cái</t>
  </si>
  <si>
    <t>36.4</t>
  </si>
  <si>
    <t>Ống lõi thép D13</t>
  </si>
  <si>
    <t>36.5</t>
  </si>
  <si>
    <t>Vật liệu phụ (cổ cáp, gen, coss, băng keo điện, dây rút, ốc vít, nhãn cáp …)</t>
  </si>
  <si>
    <t>Tổng giá trị trước thuế (VNĐ)</t>
  </si>
  <si>
    <t>Tổng giá trị sau thuế (VNĐ)</t>
  </si>
  <si>
    <t>(Bằng chữ: Một trăm lẻ tám triệu, hai trăm hai mươi sáu nghìn, tám trăm đồng/.)</t>
  </si>
  <si>
    <t>Dahua/Trung Quốc</t>
  </si>
  <si>
    <t>PFM920I-6UN1</t>
  </si>
  <si>
    <t>HD Link/Trung Quốc</t>
  </si>
  <si>
    <t>YL-SMG-9DM</t>
  </si>
  <si>
    <t>TSM/Việt Nam</t>
  </si>
  <si>
    <t>Cadivi/Việt Nam</t>
  </si>
  <si>
    <t>Việt Nam</t>
  </si>
  <si>
    <t>Hạng mục: Cung cấp và thi công hoàn thiện hệ thống Thông tin liên lạc và SCADA - Trạm 110kV Vĩnh Quang</t>
  </si>
  <si>
    <t>Công trình: Đường dây 110kV Rạch Giá 2 - Vĩnh Quang</t>
  </si>
  <si>
    <t>(Đính kèm theo Hợp đồng số: 240326/HĐXL/TSM-HGP ngày 24 tháng 03 năm 2026)</t>
  </si>
  <si>
    <t>Thuế VAT (8%)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</si>
</sst>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.00\ _₫_-;\-* #,##0.00\ _₫_-;_-* &quot;-&quot;??\ _₫_-;_-@_-"/>
    <numFmt numFmtId="166" formatCode="_(* #,##0_);_(* \(#,##0\);_(* &quot;-&quot;??_);_(@_)"/>
    <numFmt numFmtId="167" formatCode="_-* #,##0\ _₫_-;\-* #,##0\ _₫_-;_-* &quot;-&quot;??\ _₫_-;_-@_-"/>
    <numFmt numFmtId="168" formatCode="_-* #,##0_-;\-* #,##0_-;_-* &quot;-&quot;??_-;_-@_-"/>
  </numFmts>
  <fonts count="22"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name val="Arial"/>
      <charset val="134"/>
      <scheme val="minor"/>
    </font>
    <font>
      <b/>
      <sz val="16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i/>
      <sz val="14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Times New Roman"/>
      <charset val="134"/>
    </font>
    <font>
      <b/>
      <i/>
      <sz val="13"/>
      <name val="Times New Roman"/>
      <charset val="134"/>
    </font>
    <font>
      <b/>
      <sz val="14"/>
      <color theme="1"/>
      <name val="Times New Roman"/>
      <charset val="134"/>
    </font>
    <font>
      <sz val="12"/>
      <name val="Times New Roman"/>
      <charset val="134"/>
    </font>
    <font>
      <sz val="13"/>
      <color theme="1"/>
      <name val="Times New Roman"/>
      <charset val="134"/>
    </font>
    <font>
      <i/>
      <sz val="12"/>
      <color rgb="FF000000"/>
      <name val="Times New Roman"/>
      <charset val="134"/>
    </font>
    <font>
      <sz val="10"/>
      <name val="Times New Roman"/>
      <charset val="134"/>
    </font>
    <font>
      <sz val="11"/>
      <color theme="1"/>
      <name val="Arial"/>
      <charset val="163"/>
      <scheme val="minor"/>
    </font>
    <font>
      <sz val="11"/>
      <color theme="1"/>
      <name val="Arial"/>
      <charset val="134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i/>
      <sz val="14"/>
      <color rgb="FF000000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2" fillId="0" borderId="0"/>
  </cellStyleXfs>
  <cellXfs count="8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6" fontId="0" fillId="0" borderId="0" xfId="1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66" fontId="11" fillId="0" borderId="7" xfId="1" applyNumberFormat="1" applyFont="1" applyFill="1" applyBorder="1" applyAlignment="1">
      <alignment horizontal="left" vertical="center"/>
    </xf>
    <xf numFmtId="167" fontId="11" fillId="0" borderId="7" xfId="3" applyNumberFormat="1" applyFont="1" applyFill="1" applyBorder="1" applyAlignment="1">
      <alignment horizontal="center" vertical="center"/>
    </xf>
    <xf numFmtId="167" fontId="11" fillId="0" borderId="8" xfId="3" applyNumberFormat="1" applyFont="1" applyFill="1" applyBorder="1" applyAlignment="1">
      <alignment horizontal="center" vertical="center"/>
    </xf>
    <xf numFmtId="166" fontId="11" fillId="0" borderId="8" xfId="1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3" fontId="8" fillId="0" borderId="3" xfId="1" applyNumberFormat="1" applyFont="1" applyFill="1" applyBorder="1" applyAlignment="1">
      <alignment horizontal="right" vertical="center" wrapText="1"/>
    </xf>
    <xf numFmtId="3" fontId="8" fillId="0" borderId="3" xfId="1" applyNumberFormat="1" applyFont="1" applyFill="1" applyBorder="1" applyAlignment="1">
      <alignment vertical="center" wrapText="1"/>
    </xf>
    <xf numFmtId="166" fontId="1" fillId="0" borderId="0" xfId="1" applyNumberFormat="1" applyFont="1" applyAlignment="1">
      <alignment horizontal="center" vertical="center"/>
    </xf>
    <xf numFmtId="10" fontId="1" fillId="0" borderId="0" xfId="2" applyNumberFormat="1" applyFont="1" applyAlignment="1">
      <alignment vertical="center"/>
    </xf>
    <xf numFmtId="166" fontId="1" fillId="0" borderId="0" xfId="1" applyNumberFormat="1" applyFont="1" applyAlignment="1">
      <alignment vertical="center"/>
    </xf>
    <xf numFmtId="166" fontId="0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9" fontId="11" fillId="0" borderId="7" xfId="2" applyFont="1" applyFill="1" applyBorder="1" applyAlignment="1">
      <alignment horizontal="center" vertical="center"/>
    </xf>
    <xf numFmtId="166" fontId="11" fillId="0" borderId="7" xfId="1" applyNumberFormat="1" applyFont="1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13" fillId="0" borderId="7" xfId="0" applyFont="1" applyBorder="1" applyAlignment="1">
      <alignment vertical="center" wrapText="1"/>
    </xf>
    <xf numFmtId="9" fontId="11" fillId="0" borderId="8" xfId="2" applyFont="1" applyFill="1" applyBorder="1" applyAlignment="1">
      <alignment horizontal="center" vertical="center"/>
    </xf>
    <xf numFmtId="166" fontId="11" fillId="0" borderId="8" xfId="1" applyNumberFormat="1" applyFont="1" applyFill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2" fillId="0" borderId="7" xfId="0" applyFont="1" applyBorder="1" applyAlignment="1">
      <alignment vertical="center"/>
    </xf>
    <xf numFmtId="3" fontId="8" fillId="0" borderId="3" xfId="0" applyNumberFormat="1" applyFont="1" applyBorder="1" applyAlignment="1">
      <alignment horizontal="center" vertical="center" wrapText="1"/>
    </xf>
    <xf numFmtId="4" fontId="14" fillId="3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3" fontId="14" fillId="3" borderId="3" xfId="0" applyNumberFormat="1" applyFont="1" applyFill="1" applyBorder="1" applyAlignment="1">
      <alignment horizontal="center" vertical="center" wrapText="1"/>
    </xf>
    <xf numFmtId="4" fontId="14" fillId="3" borderId="0" xfId="0" applyNumberFormat="1" applyFont="1" applyFill="1" applyAlignment="1">
      <alignment vertical="center" wrapText="1"/>
    </xf>
    <xf numFmtId="3" fontId="14" fillId="3" borderId="0" xfId="0" applyNumberFormat="1" applyFont="1" applyFill="1" applyAlignment="1">
      <alignment vertical="center" wrapText="1"/>
    </xf>
    <xf numFmtId="10" fontId="0" fillId="0" borderId="0" xfId="2" applyNumberFormat="1" applyFont="1" applyAlignment="1">
      <alignment vertical="center"/>
    </xf>
    <xf numFmtId="3" fontId="0" fillId="0" borderId="0" xfId="0" applyNumberFormat="1" applyAlignment="1">
      <alignment vertical="center"/>
    </xf>
    <xf numFmtId="166" fontId="0" fillId="0" borderId="0" xfId="1" applyNumberFormat="1" applyFont="1" applyFill="1" applyAlignment="1">
      <alignment vertical="center"/>
    </xf>
    <xf numFmtId="166" fontId="2" fillId="0" borderId="0" xfId="1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168" fontId="6" fillId="0" borderId="6" xfId="1" applyNumberFormat="1" applyFont="1" applyBorder="1" applyAlignment="1">
      <alignment vertical="center"/>
    </xf>
    <xf numFmtId="43" fontId="6" fillId="0" borderId="6" xfId="1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8" fontId="6" fillId="0" borderId="6" xfId="0" applyNumberFormat="1" applyFont="1" applyBorder="1" applyAlignment="1" applyProtection="1">
      <alignment vertical="center"/>
      <protection locked="0"/>
    </xf>
    <xf numFmtId="0" fontId="1" fillId="0" borderId="6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43" fontId="7" fillId="0" borderId="7" xfId="1" applyNumberFormat="1" applyFont="1" applyBorder="1" applyAlignment="1">
      <alignment horizontal="center" vertical="center"/>
    </xf>
    <xf numFmtId="38" fontId="7" fillId="0" borderId="7" xfId="0" applyNumberFormat="1" applyFont="1" applyBorder="1" applyAlignment="1" applyProtection="1">
      <alignment vertical="center"/>
      <protection locked="0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43" fontId="6" fillId="0" borderId="7" xfId="1" applyNumberFormat="1" applyFont="1" applyBorder="1" applyAlignment="1">
      <alignment horizontal="center" vertical="center"/>
    </xf>
    <xf numFmtId="38" fontId="6" fillId="0" borderId="7" xfId="0" applyNumberFormat="1" applyFont="1" applyBorder="1" applyAlignment="1" applyProtection="1">
      <alignment vertical="center"/>
      <protection locked="0"/>
    </xf>
    <xf numFmtId="167" fontId="8" fillId="0" borderId="7" xfId="3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43" fontId="7" fillId="0" borderId="8" xfId="1" applyNumberFormat="1" applyFont="1" applyBorder="1" applyAlignment="1">
      <alignment horizontal="center" vertical="center"/>
    </xf>
    <xf numFmtId="38" fontId="7" fillId="0" borderId="8" xfId="0" applyNumberFormat="1" applyFont="1" applyBorder="1" applyAlignment="1" applyProtection="1">
      <alignment vertical="center"/>
      <protection locked="0"/>
    </xf>
    <xf numFmtId="167" fontId="17" fillId="0" borderId="7" xfId="3" applyNumberFormat="1" applyFont="1" applyFill="1" applyBorder="1" applyAlignment="1">
      <alignment horizontal="center" vertical="center"/>
    </xf>
    <xf numFmtId="167" fontId="17" fillId="0" borderId="7" xfId="3" applyNumberFormat="1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4" fontId="7" fillId="0" borderId="7" xfId="1" applyFont="1" applyBorder="1" applyAlignment="1">
      <alignment vertical="center"/>
    </xf>
    <xf numFmtId="164" fontId="6" fillId="0" borderId="7" xfId="1" applyFont="1" applyBorder="1" applyAlignment="1">
      <alignment vertical="center"/>
    </xf>
    <xf numFmtId="164" fontId="7" fillId="0" borderId="8" xfId="1" applyFont="1" applyBorder="1" applyAlignment="1">
      <alignment vertical="center"/>
    </xf>
    <xf numFmtId="4" fontId="8" fillId="3" borderId="3" xfId="0" applyNumberFormat="1" applyFont="1" applyFill="1" applyBorder="1" applyAlignment="1">
      <alignment horizontal="center" vertical="center" wrapText="1"/>
    </xf>
    <xf numFmtId="4" fontId="21" fillId="3" borderId="3" xfId="0" applyNumberFormat="1" applyFont="1" applyFill="1" applyBorder="1" applyAlignment="1">
      <alignment horizontal="center" vertical="center" wrapText="1"/>
    </xf>
    <xf numFmtId="3" fontId="9" fillId="3" borderId="4" xfId="0" applyNumberFormat="1" applyFont="1" applyFill="1" applyBorder="1" applyAlignment="1">
      <alignment horizontal="center" vertical="center" wrapText="1"/>
    </xf>
    <xf numFmtId="3" fontId="9" fillId="3" borderId="5" xfId="0" applyNumberFormat="1" applyFont="1" applyFill="1" applyBorder="1" applyAlignment="1">
      <alignment horizontal="center" vertical="center" wrapText="1"/>
    </xf>
    <xf numFmtId="3" fontId="9" fillId="3" borderId="9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00000000-0005-0000-0000-000031000000}"/>
    <cellStyle name="Normal" xfId="0" builtinId="0"/>
    <cellStyle name="Normal 2" xfId="4" xr:uid="{00000000-0005-0000-0000-000032000000}"/>
    <cellStyle name="Percent" xfId="2" builtinId="5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"/>
  <sheetViews>
    <sheetView tabSelected="1" view="pageBreakPreview" zoomScale="85" zoomScaleNormal="85" workbookViewId="0">
      <selection activeCell="C8" sqref="C8:C39"/>
    </sheetView>
  </sheetViews>
  <sheetFormatPr defaultColWidth="8.83203125" defaultRowHeight="14"/>
  <cols>
    <col min="1" max="1" width="9.75" style="3" customWidth="1"/>
    <col min="2" max="2" width="45.58203125" style="4" customWidth="1"/>
    <col min="3" max="3" width="11.25" style="5" customWidth="1"/>
    <col min="4" max="4" width="12.4140625" style="5" customWidth="1"/>
    <col min="5" max="5" width="16.83203125" style="5" customWidth="1"/>
    <col min="6" max="6" width="17.25" style="5" bestFit="1" customWidth="1"/>
    <col min="7" max="7" width="16.75" style="3" customWidth="1"/>
    <col min="8" max="8" width="18.83203125" style="3" customWidth="1"/>
    <col min="9" max="9" width="9.4140625" style="3" customWidth="1"/>
    <col min="10" max="10" width="16.75" style="3" customWidth="1"/>
    <col min="11" max="11" width="18.83203125" style="3" customWidth="1"/>
    <col min="12" max="12" width="9.25" style="3" bestFit="1" customWidth="1"/>
    <col min="13" max="13" width="15.83203125" style="3" customWidth="1"/>
    <col min="14" max="14" width="30.1640625" style="6" customWidth="1"/>
    <col min="15" max="15" width="16" style="3" customWidth="1"/>
    <col min="16" max="16384" width="8.83203125" style="3"/>
  </cols>
  <sheetData>
    <row r="1" spans="1:15" ht="24.75" customHeight="1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5" ht="24.75" customHeight="1">
      <c r="A2" s="79" t="s">
        <v>88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5" ht="24.75" customHeight="1">
      <c r="A3" s="79" t="s">
        <v>87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ht="24.75" customHeight="1">
      <c r="A4" s="81" t="s">
        <v>89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ht="13.5" customHeight="1">
      <c r="A5" s="7"/>
      <c r="B5" s="7"/>
      <c r="C5" s="7"/>
      <c r="D5" s="7"/>
      <c r="E5" s="8"/>
      <c r="F5" s="8"/>
      <c r="G5" s="8"/>
      <c r="H5" s="8"/>
      <c r="I5" s="8"/>
      <c r="J5" s="8"/>
      <c r="K5" s="8"/>
    </row>
    <row r="6" spans="1:15" ht="27" customHeight="1">
      <c r="A6" s="76" t="s">
        <v>1</v>
      </c>
      <c r="B6" s="76" t="s">
        <v>2</v>
      </c>
      <c r="C6" s="76" t="s">
        <v>3</v>
      </c>
      <c r="D6" s="76" t="s">
        <v>4</v>
      </c>
      <c r="E6" s="76" t="s">
        <v>5</v>
      </c>
      <c r="F6" s="76" t="s">
        <v>6</v>
      </c>
      <c r="G6" s="76" t="s">
        <v>7</v>
      </c>
      <c r="H6" s="76" t="s">
        <v>8</v>
      </c>
      <c r="I6" s="83" t="s">
        <v>9</v>
      </c>
      <c r="J6" s="84"/>
      <c r="K6" s="76" t="s">
        <v>10</v>
      </c>
      <c r="L6" s="76" t="s">
        <v>11</v>
      </c>
    </row>
    <row r="7" spans="1:15" ht="27" customHeight="1">
      <c r="A7" s="77"/>
      <c r="B7" s="77"/>
      <c r="C7" s="77"/>
      <c r="D7" s="77"/>
      <c r="E7" s="77"/>
      <c r="F7" s="77"/>
      <c r="G7" s="77"/>
      <c r="H7" s="77"/>
      <c r="I7" s="23" t="s">
        <v>12</v>
      </c>
      <c r="J7" s="23" t="s">
        <v>13</v>
      </c>
      <c r="K7" s="77"/>
      <c r="L7" s="77"/>
    </row>
    <row r="8" spans="1:15" s="1" customFormat="1" ht="45">
      <c r="A8" s="44">
        <v>33</v>
      </c>
      <c r="B8" s="45" t="s">
        <v>14</v>
      </c>
      <c r="C8" s="46" t="s">
        <v>15</v>
      </c>
      <c r="D8" s="47" t="s">
        <v>15</v>
      </c>
      <c r="E8" s="48"/>
      <c r="F8" s="48"/>
      <c r="G8" s="49" t="s">
        <v>15</v>
      </c>
      <c r="H8" s="50"/>
      <c r="I8" s="50"/>
      <c r="J8" s="50"/>
      <c r="K8" s="50"/>
      <c r="L8" s="50"/>
      <c r="N8" s="19"/>
    </row>
    <row r="9" spans="1:15" ht="15.5">
      <c r="A9" s="51" t="s">
        <v>16</v>
      </c>
      <c r="B9" s="52" t="s">
        <v>17</v>
      </c>
      <c r="C9" s="68">
        <v>1</v>
      </c>
      <c r="D9" s="53" t="s">
        <v>18</v>
      </c>
      <c r="E9" s="9"/>
      <c r="F9" s="9"/>
      <c r="G9" s="54">
        <v>3000000</v>
      </c>
      <c r="H9" s="10">
        <f>G9*C9</f>
        <v>3000000</v>
      </c>
      <c r="I9" s="24">
        <v>0.08</v>
      </c>
      <c r="J9" s="25">
        <f>ROUND(H9*I9,0)</f>
        <v>240000</v>
      </c>
      <c r="K9" s="25">
        <f>H9+J9</f>
        <v>3240000</v>
      </c>
      <c r="L9" s="26"/>
      <c r="O9" s="21"/>
    </row>
    <row r="10" spans="1:15" ht="45">
      <c r="A10" s="55">
        <v>34</v>
      </c>
      <c r="B10" s="56" t="s">
        <v>19</v>
      </c>
      <c r="C10" s="69" t="s">
        <v>15</v>
      </c>
      <c r="D10" s="57" t="s">
        <v>15</v>
      </c>
      <c r="E10" s="9"/>
      <c r="F10" s="9"/>
      <c r="G10" s="58" t="s">
        <v>15</v>
      </c>
      <c r="H10" s="10"/>
      <c r="I10" s="24"/>
      <c r="J10" s="25"/>
      <c r="K10" s="25"/>
      <c r="L10" s="26"/>
      <c r="O10" s="21"/>
    </row>
    <row r="11" spans="1:15" ht="27.75" customHeight="1">
      <c r="A11" s="51" t="s">
        <v>20</v>
      </c>
      <c r="B11" s="52" t="s">
        <v>21</v>
      </c>
      <c r="C11" s="68">
        <v>50</v>
      </c>
      <c r="D11" s="53" t="s">
        <v>22</v>
      </c>
      <c r="E11" s="11"/>
      <c r="F11" s="67" t="s">
        <v>86</v>
      </c>
      <c r="G11" s="54">
        <v>100000</v>
      </c>
      <c r="H11" s="10">
        <f t="shared" ref="H11:H20" si="0">G11*C11</f>
        <v>5000000</v>
      </c>
      <c r="I11" s="24">
        <v>0.08</v>
      </c>
      <c r="J11" s="25">
        <f t="shared" ref="J11:J20" si="1">ROUND(H11*I11,0)</f>
        <v>400000</v>
      </c>
      <c r="K11" s="25">
        <f t="shared" ref="K11:K20" si="2">H11+J11</f>
        <v>5400000</v>
      </c>
      <c r="L11" s="27"/>
      <c r="O11" s="21"/>
    </row>
    <row r="12" spans="1:15" ht="15.5">
      <c r="A12" s="51" t="s">
        <v>23</v>
      </c>
      <c r="B12" s="52" t="s">
        <v>24</v>
      </c>
      <c r="C12" s="68">
        <v>50</v>
      </c>
      <c r="D12" s="53" t="s">
        <v>25</v>
      </c>
      <c r="E12" s="11"/>
      <c r="F12" s="66" t="s">
        <v>85</v>
      </c>
      <c r="G12" s="54">
        <v>15000</v>
      </c>
      <c r="H12" s="10">
        <f t="shared" si="0"/>
        <v>750000</v>
      </c>
      <c r="I12" s="24">
        <v>0.08</v>
      </c>
      <c r="J12" s="25">
        <f t="shared" si="1"/>
        <v>60000</v>
      </c>
      <c r="K12" s="25">
        <f t="shared" si="2"/>
        <v>810000</v>
      </c>
      <c r="L12" s="26"/>
      <c r="N12" s="40"/>
      <c r="O12" s="21"/>
    </row>
    <row r="13" spans="1:15" ht="27.75" customHeight="1">
      <c r="A13" s="51" t="s">
        <v>26</v>
      </c>
      <c r="B13" s="52" t="s">
        <v>27</v>
      </c>
      <c r="C13" s="68">
        <v>50</v>
      </c>
      <c r="D13" s="53" t="s">
        <v>25</v>
      </c>
      <c r="E13" s="11"/>
      <c r="F13" s="66" t="s">
        <v>85</v>
      </c>
      <c r="G13" s="54">
        <v>17000</v>
      </c>
      <c r="H13" s="10">
        <f t="shared" si="0"/>
        <v>850000</v>
      </c>
      <c r="I13" s="24">
        <v>0.08</v>
      </c>
      <c r="J13" s="25">
        <f t="shared" si="1"/>
        <v>68000</v>
      </c>
      <c r="K13" s="25">
        <f t="shared" si="2"/>
        <v>918000</v>
      </c>
      <c r="L13" s="27"/>
      <c r="O13" s="21"/>
    </row>
    <row r="14" spans="1:15" ht="31">
      <c r="A14" s="51" t="s">
        <v>28</v>
      </c>
      <c r="B14" s="52" t="s">
        <v>29</v>
      </c>
      <c r="C14" s="68">
        <v>2</v>
      </c>
      <c r="D14" s="53" t="s">
        <v>30</v>
      </c>
      <c r="E14" s="9"/>
      <c r="F14" s="67" t="s">
        <v>84</v>
      </c>
      <c r="G14" s="54">
        <v>300000</v>
      </c>
      <c r="H14" s="10">
        <f t="shared" si="0"/>
        <v>600000</v>
      </c>
      <c r="I14" s="24">
        <v>0.08</v>
      </c>
      <c r="J14" s="25">
        <f t="shared" si="1"/>
        <v>48000</v>
      </c>
      <c r="K14" s="25">
        <f t="shared" si="2"/>
        <v>648000</v>
      </c>
      <c r="L14" s="26"/>
      <c r="O14" s="21"/>
    </row>
    <row r="15" spans="1:15" ht="46.5">
      <c r="A15" s="51" t="s">
        <v>31</v>
      </c>
      <c r="B15" s="52" t="s">
        <v>32</v>
      </c>
      <c r="C15" s="68">
        <v>10</v>
      </c>
      <c r="D15" s="53" t="s">
        <v>30</v>
      </c>
      <c r="E15" s="11"/>
      <c r="F15" s="67" t="s">
        <v>84</v>
      </c>
      <c r="G15" s="54">
        <v>1000000</v>
      </c>
      <c r="H15" s="10">
        <f>G15*C15</f>
        <v>10000000</v>
      </c>
      <c r="I15" s="24">
        <v>0.08</v>
      </c>
      <c r="J15" s="25">
        <f t="shared" si="1"/>
        <v>800000</v>
      </c>
      <c r="K15" s="25">
        <f t="shared" si="2"/>
        <v>10800000</v>
      </c>
      <c r="L15" s="27"/>
      <c r="O15" s="21"/>
    </row>
    <row r="16" spans="1:15" ht="15.5">
      <c r="A16" s="51" t="s">
        <v>33</v>
      </c>
      <c r="B16" s="52" t="s">
        <v>34</v>
      </c>
      <c r="C16" s="68">
        <v>100</v>
      </c>
      <c r="D16" s="53" t="s">
        <v>25</v>
      </c>
      <c r="E16" s="9"/>
      <c r="F16" s="67" t="s">
        <v>84</v>
      </c>
      <c r="G16" s="54">
        <v>25000</v>
      </c>
      <c r="H16" s="10">
        <f t="shared" si="0"/>
        <v>2500000</v>
      </c>
      <c r="I16" s="24">
        <v>0.08</v>
      </c>
      <c r="J16" s="25">
        <f t="shared" si="1"/>
        <v>200000</v>
      </c>
      <c r="K16" s="25">
        <f t="shared" si="2"/>
        <v>2700000</v>
      </c>
      <c r="L16" s="26"/>
      <c r="O16" s="21"/>
    </row>
    <row r="17" spans="1:15" ht="15.5">
      <c r="A17" s="51" t="s">
        <v>35</v>
      </c>
      <c r="B17" s="52" t="s">
        <v>36</v>
      </c>
      <c r="C17" s="68">
        <v>100</v>
      </c>
      <c r="D17" s="53" t="s">
        <v>25</v>
      </c>
      <c r="E17" s="11"/>
      <c r="F17" s="67" t="s">
        <v>86</v>
      </c>
      <c r="G17" s="54">
        <v>25000</v>
      </c>
      <c r="H17" s="10">
        <f t="shared" si="0"/>
        <v>2500000</v>
      </c>
      <c r="I17" s="24">
        <v>0.08</v>
      </c>
      <c r="J17" s="25">
        <f t="shared" si="1"/>
        <v>200000</v>
      </c>
      <c r="K17" s="25">
        <f t="shared" si="2"/>
        <v>2700000</v>
      </c>
      <c r="L17" s="27"/>
      <c r="O17" s="21"/>
    </row>
    <row r="18" spans="1:15" ht="15.5">
      <c r="A18" s="51" t="s">
        <v>37</v>
      </c>
      <c r="B18" s="52" t="s">
        <v>38</v>
      </c>
      <c r="C18" s="68">
        <v>10</v>
      </c>
      <c r="D18" s="53" t="s">
        <v>22</v>
      </c>
      <c r="E18" s="11"/>
      <c r="F18" s="67" t="s">
        <v>86</v>
      </c>
      <c r="G18" s="54">
        <v>15000</v>
      </c>
      <c r="H18" s="10">
        <f t="shared" si="0"/>
        <v>150000</v>
      </c>
      <c r="I18" s="24">
        <v>0.08</v>
      </c>
      <c r="J18" s="25">
        <f t="shared" si="1"/>
        <v>12000</v>
      </c>
      <c r="K18" s="25">
        <f t="shared" si="2"/>
        <v>162000</v>
      </c>
      <c r="L18" s="26"/>
      <c r="O18" s="21"/>
    </row>
    <row r="19" spans="1:15" s="1" customFormat="1" ht="15.5">
      <c r="A19" s="51" t="s">
        <v>39</v>
      </c>
      <c r="B19" s="52" t="s">
        <v>40</v>
      </c>
      <c r="C19" s="68">
        <v>1</v>
      </c>
      <c r="D19" s="53" t="s">
        <v>22</v>
      </c>
      <c r="E19" s="59"/>
      <c r="F19" s="67" t="s">
        <v>86</v>
      </c>
      <c r="G19" s="54">
        <v>300000</v>
      </c>
      <c r="H19" s="10">
        <f t="shared" si="0"/>
        <v>300000</v>
      </c>
      <c r="I19" s="24">
        <v>0.08</v>
      </c>
      <c r="J19" s="25">
        <f t="shared" si="1"/>
        <v>24000</v>
      </c>
      <c r="K19" s="25">
        <f t="shared" si="2"/>
        <v>324000</v>
      </c>
      <c r="L19" s="60"/>
      <c r="N19" s="19"/>
      <c r="O19" s="21"/>
    </row>
    <row r="20" spans="1:15" ht="39" customHeight="1">
      <c r="A20" s="51" t="s">
        <v>41</v>
      </c>
      <c r="B20" s="52" t="s">
        <v>42</v>
      </c>
      <c r="C20" s="68">
        <v>1</v>
      </c>
      <c r="D20" s="53" t="s">
        <v>43</v>
      </c>
      <c r="E20" s="9"/>
      <c r="F20" s="67" t="s">
        <v>86</v>
      </c>
      <c r="G20" s="54">
        <v>5000000</v>
      </c>
      <c r="H20" s="10">
        <f t="shared" si="0"/>
        <v>5000000</v>
      </c>
      <c r="I20" s="24">
        <v>0.08</v>
      </c>
      <c r="J20" s="25">
        <f t="shared" si="1"/>
        <v>400000</v>
      </c>
      <c r="K20" s="25">
        <f t="shared" si="2"/>
        <v>5400000</v>
      </c>
      <c r="L20" s="26"/>
      <c r="O20" s="21"/>
    </row>
    <row r="21" spans="1:15" ht="30">
      <c r="A21" s="55" t="s">
        <v>44</v>
      </c>
      <c r="B21" s="56" t="s">
        <v>45</v>
      </c>
      <c r="C21" s="69" t="s">
        <v>15</v>
      </c>
      <c r="D21" s="57" t="s">
        <v>15</v>
      </c>
      <c r="E21" s="14"/>
      <c r="F21" s="14"/>
      <c r="G21" s="58" t="s">
        <v>15</v>
      </c>
      <c r="H21" s="10"/>
      <c r="I21" s="24"/>
      <c r="J21" s="25"/>
      <c r="K21" s="25"/>
      <c r="L21" s="27"/>
      <c r="O21" s="21"/>
    </row>
    <row r="22" spans="1:15" ht="31">
      <c r="A22" s="51" t="s">
        <v>46</v>
      </c>
      <c r="B22" s="52" t="s">
        <v>29</v>
      </c>
      <c r="C22" s="68">
        <v>4</v>
      </c>
      <c r="D22" s="53" t="s">
        <v>30</v>
      </c>
      <c r="E22" s="11"/>
      <c r="F22" s="67" t="s">
        <v>84</v>
      </c>
      <c r="G22" s="54">
        <v>500000</v>
      </c>
      <c r="H22" s="10">
        <f>G22*C22</f>
        <v>2000000</v>
      </c>
      <c r="I22" s="24">
        <v>0.08</v>
      </c>
      <c r="J22" s="25">
        <f>ROUND(H22*I22,0)</f>
        <v>160000</v>
      </c>
      <c r="K22" s="25">
        <f>H22+J22</f>
        <v>2160000</v>
      </c>
      <c r="L22" s="27"/>
      <c r="O22" s="21"/>
    </row>
    <row r="23" spans="1:15" s="2" customFormat="1" ht="46.5">
      <c r="A23" s="51" t="s">
        <v>47</v>
      </c>
      <c r="B23" s="52" t="s">
        <v>32</v>
      </c>
      <c r="C23" s="68">
        <v>2</v>
      </c>
      <c r="D23" s="53" t="s">
        <v>30</v>
      </c>
      <c r="E23" s="11"/>
      <c r="F23" s="67" t="s">
        <v>84</v>
      </c>
      <c r="G23" s="54">
        <v>700000</v>
      </c>
      <c r="H23" s="10">
        <f>G23*C23</f>
        <v>1400000</v>
      </c>
      <c r="I23" s="24">
        <v>0.08</v>
      </c>
      <c r="J23" s="25">
        <f>ROUND(H23*I23,0)</f>
        <v>112000</v>
      </c>
      <c r="K23" s="25">
        <f>H23+J23</f>
        <v>1512000</v>
      </c>
      <c r="L23" s="31"/>
      <c r="N23" s="41"/>
      <c r="O23" s="42"/>
    </row>
    <row r="24" spans="1:15" s="2" customFormat="1" ht="27.75" customHeight="1">
      <c r="A24" s="51" t="s">
        <v>48</v>
      </c>
      <c r="B24" s="52" t="s">
        <v>36</v>
      </c>
      <c r="C24" s="68">
        <v>200</v>
      </c>
      <c r="D24" s="53" t="s">
        <v>25</v>
      </c>
      <c r="E24" s="11"/>
      <c r="F24" s="67" t="s">
        <v>86</v>
      </c>
      <c r="G24" s="54">
        <v>25000</v>
      </c>
      <c r="H24" s="10">
        <f>G24*C24</f>
        <v>5000000</v>
      </c>
      <c r="I24" s="24">
        <v>0.08</v>
      </c>
      <c r="J24" s="25">
        <f>ROUND(H24*I24,0)</f>
        <v>400000</v>
      </c>
      <c r="K24" s="25">
        <f>H24+J24</f>
        <v>5400000</v>
      </c>
      <c r="L24" s="31"/>
      <c r="N24" s="41"/>
      <c r="O24" s="42"/>
    </row>
    <row r="25" spans="1:15" s="2" customFormat="1" ht="45">
      <c r="A25" s="55">
        <v>35</v>
      </c>
      <c r="B25" s="56" t="s">
        <v>49</v>
      </c>
      <c r="C25" s="69" t="s">
        <v>15</v>
      </c>
      <c r="D25" s="57" t="s">
        <v>15</v>
      </c>
      <c r="E25" s="11"/>
      <c r="F25" s="11"/>
      <c r="G25" s="58" t="s">
        <v>15</v>
      </c>
      <c r="H25" s="10"/>
      <c r="I25" s="24"/>
      <c r="J25" s="25"/>
      <c r="K25" s="25"/>
      <c r="L25" s="31"/>
      <c r="N25" s="41"/>
      <c r="O25" s="42"/>
    </row>
    <row r="26" spans="1:15" s="2" customFormat="1" ht="62">
      <c r="A26" s="51" t="s">
        <v>50</v>
      </c>
      <c r="B26" s="52" t="s">
        <v>51</v>
      </c>
      <c r="C26" s="68">
        <v>1</v>
      </c>
      <c r="D26" s="53" t="s">
        <v>52</v>
      </c>
      <c r="E26" s="11"/>
      <c r="F26" s="67" t="s">
        <v>84</v>
      </c>
      <c r="G26" s="54">
        <v>5000000</v>
      </c>
      <c r="H26" s="10">
        <f>G26*C26</f>
        <v>5000000</v>
      </c>
      <c r="I26" s="24">
        <v>0.08</v>
      </c>
      <c r="J26" s="25">
        <f>ROUND(H26*I26,0)</f>
        <v>400000</v>
      </c>
      <c r="K26" s="25">
        <f>H26+J26</f>
        <v>5400000</v>
      </c>
      <c r="L26" s="31"/>
      <c r="N26" s="41"/>
      <c r="O26" s="42"/>
    </row>
    <row r="27" spans="1:15" s="2" customFormat="1" ht="27.75" customHeight="1">
      <c r="A27" s="51" t="s">
        <v>53</v>
      </c>
      <c r="B27" s="52" t="s">
        <v>54</v>
      </c>
      <c r="C27" s="68">
        <v>1</v>
      </c>
      <c r="D27" s="53" t="s">
        <v>52</v>
      </c>
      <c r="E27" s="11"/>
      <c r="F27" s="67" t="s">
        <v>84</v>
      </c>
      <c r="G27" s="54">
        <v>5000000</v>
      </c>
      <c r="H27" s="10">
        <f t="shared" ref="H27:H33" si="3">G27*C27</f>
        <v>5000000</v>
      </c>
      <c r="I27" s="24">
        <v>0.08</v>
      </c>
      <c r="J27" s="25">
        <f t="shared" ref="J27:J33" si="4">ROUND(H27*I27,0)</f>
        <v>400000</v>
      </c>
      <c r="K27" s="25">
        <f t="shared" ref="K27:K33" si="5">H27+J27</f>
        <v>5400000</v>
      </c>
      <c r="L27" s="31"/>
      <c r="N27" s="41"/>
      <c r="O27" s="42"/>
    </row>
    <row r="28" spans="1:15" s="2" customFormat="1" ht="27.75" customHeight="1">
      <c r="A28" s="51" t="s">
        <v>55</v>
      </c>
      <c r="B28" s="52" t="s">
        <v>56</v>
      </c>
      <c r="C28" s="68">
        <v>100</v>
      </c>
      <c r="D28" s="53" t="s">
        <v>25</v>
      </c>
      <c r="E28" s="11"/>
      <c r="F28" s="67" t="s">
        <v>84</v>
      </c>
      <c r="G28" s="54">
        <v>30000</v>
      </c>
      <c r="H28" s="10">
        <f t="shared" si="3"/>
        <v>3000000</v>
      </c>
      <c r="I28" s="24">
        <v>0.08</v>
      </c>
      <c r="J28" s="25">
        <f t="shared" si="4"/>
        <v>240000</v>
      </c>
      <c r="K28" s="25">
        <f t="shared" si="5"/>
        <v>3240000</v>
      </c>
      <c r="L28" s="31"/>
      <c r="N28" s="41"/>
      <c r="O28" s="42"/>
    </row>
    <row r="29" spans="1:15" s="2" customFormat="1" ht="27.75" customHeight="1">
      <c r="A29" s="51" t="s">
        <v>57</v>
      </c>
      <c r="B29" s="52" t="s">
        <v>58</v>
      </c>
      <c r="C29" s="68">
        <v>100</v>
      </c>
      <c r="D29" s="53" t="s">
        <v>25</v>
      </c>
      <c r="E29" s="11"/>
      <c r="F29" s="67" t="s">
        <v>86</v>
      </c>
      <c r="G29" s="54">
        <v>45000</v>
      </c>
      <c r="H29" s="10">
        <f t="shared" si="3"/>
        <v>4500000</v>
      </c>
      <c r="I29" s="24">
        <v>0.08</v>
      </c>
      <c r="J29" s="25">
        <f t="shared" si="4"/>
        <v>360000</v>
      </c>
      <c r="K29" s="25">
        <f t="shared" si="5"/>
        <v>4860000</v>
      </c>
      <c r="L29" s="31"/>
      <c r="N29" s="41"/>
      <c r="O29" s="42"/>
    </row>
    <row r="30" spans="1:15" s="2" customFormat="1" ht="30">
      <c r="A30" s="55" t="s">
        <v>59</v>
      </c>
      <c r="B30" s="56" t="s">
        <v>45</v>
      </c>
      <c r="C30" s="69" t="s">
        <v>15</v>
      </c>
      <c r="D30" s="57" t="s">
        <v>15</v>
      </c>
      <c r="E30" s="11"/>
      <c r="F30" s="11"/>
      <c r="G30" s="58" t="s">
        <v>15</v>
      </c>
      <c r="H30" s="10"/>
      <c r="I30" s="24"/>
      <c r="J30" s="25"/>
      <c r="K30" s="25"/>
      <c r="L30" s="31"/>
      <c r="N30" s="41"/>
      <c r="O30" s="42"/>
    </row>
    <row r="31" spans="1:15" s="2" customFormat="1" ht="27.75" customHeight="1">
      <c r="A31" s="51" t="s">
        <v>60</v>
      </c>
      <c r="B31" s="52" t="s">
        <v>61</v>
      </c>
      <c r="C31" s="68">
        <v>4</v>
      </c>
      <c r="D31" s="53" t="s">
        <v>52</v>
      </c>
      <c r="E31" s="11"/>
      <c r="F31" s="67" t="s">
        <v>84</v>
      </c>
      <c r="G31" s="54">
        <v>5000000</v>
      </c>
      <c r="H31" s="10">
        <f t="shared" si="3"/>
        <v>20000000</v>
      </c>
      <c r="I31" s="24">
        <v>0.08</v>
      </c>
      <c r="J31" s="25">
        <f t="shared" si="4"/>
        <v>1600000</v>
      </c>
      <c r="K31" s="25">
        <f t="shared" si="5"/>
        <v>21600000</v>
      </c>
      <c r="L31" s="31"/>
      <c r="N31" s="41"/>
      <c r="O31" s="42"/>
    </row>
    <row r="32" spans="1:15" s="2" customFormat="1" ht="27.75" customHeight="1">
      <c r="A32" s="51" t="s">
        <v>62</v>
      </c>
      <c r="B32" s="52" t="s">
        <v>63</v>
      </c>
      <c r="C32" s="68">
        <v>1</v>
      </c>
      <c r="D32" s="53" t="s">
        <v>18</v>
      </c>
      <c r="E32" s="11"/>
      <c r="F32" s="67" t="s">
        <v>86</v>
      </c>
      <c r="G32" s="54">
        <v>6500000</v>
      </c>
      <c r="H32" s="10">
        <f t="shared" si="3"/>
        <v>6500000</v>
      </c>
      <c r="I32" s="24">
        <v>0.08</v>
      </c>
      <c r="J32" s="25">
        <f t="shared" si="4"/>
        <v>520000</v>
      </c>
      <c r="K32" s="25">
        <f t="shared" si="5"/>
        <v>7020000</v>
      </c>
      <c r="L32" s="31"/>
      <c r="N32" s="41"/>
      <c r="O32" s="42"/>
    </row>
    <row r="33" spans="1:15" s="2" customFormat="1" ht="27.75" customHeight="1">
      <c r="A33" s="51" t="s">
        <v>64</v>
      </c>
      <c r="B33" s="52" t="s">
        <v>65</v>
      </c>
      <c r="C33" s="68">
        <v>200</v>
      </c>
      <c r="D33" s="53" t="s">
        <v>25</v>
      </c>
      <c r="E33" s="11"/>
      <c r="F33" s="67" t="s">
        <v>86</v>
      </c>
      <c r="G33" s="54">
        <v>25000</v>
      </c>
      <c r="H33" s="10">
        <f t="shared" si="3"/>
        <v>5000000</v>
      </c>
      <c r="I33" s="24">
        <v>0.08</v>
      </c>
      <c r="J33" s="25">
        <f t="shared" si="4"/>
        <v>400000</v>
      </c>
      <c r="K33" s="25">
        <f t="shared" si="5"/>
        <v>5400000</v>
      </c>
      <c r="L33" s="31"/>
      <c r="N33" s="41"/>
      <c r="O33" s="42"/>
    </row>
    <row r="34" spans="1:15" s="2" customFormat="1" ht="45">
      <c r="A34" s="55">
        <v>36</v>
      </c>
      <c r="B34" s="56" t="s">
        <v>66</v>
      </c>
      <c r="C34" s="69" t="s">
        <v>15</v>
      </c>
      <c r="D34" s="57" t="s">
        <v>15</v>
      </c>
      <c r="E34" s="11"/>
      <c r="F34" s="11"/>
      <c r="G34" s="58" t="s">
        <v>15</v>
      </c>
      <c r="H34" s="10"/>
      <c r="I34" s="24"/>
      <c r="J34" s="25"/>
      <c r="K34" s="25"/>
      <c r="L34" s="31"/>
      <c r="N34" s="41"/>
      <c r="O34" s="42"/>
    </row>
    <row r="35" spans="1:15" s="2" customFormat="1" ht="15.5">
      <c r="A35" s="51" t="s">
        <v>67</v>
      </c>
      <c r="B35" s="52" t="s">
        <v>68</v>
      </c>
      <c r="C35" s="68">
        <v>100</v>
      </c>
      <c r="D35" s="53" t="s">
        <v>25</v>
      </c>
      <c r="E35" s="65" t="s">
        <v>81</v>
      </c>
      <c r="F35" s="66" t="s">
        <v>80</v>
      </c>
      <c r="G35" s="54">
        <v>25000</v>
      </c>
      <c r="H35" s="10">
        <f>G35*C35</f>
        <v>2500000</v>
      </c>
      <c r="I35" s="24">
        <v>0.08</v>
      </c>
      <c r="J35" s="25">
        <f>ROUND(H35*I35,0)</f>
        <v>200000</v>
      </c>
      <c r="K35" s="25">
        <f>H35+J35</f>
        <v>2700000</v>
      </c>
      <c r="L35" s="31"/>
      <c r="N35" s="41"/>
      <c r="O35" s="42"/>
    </row>
    <row r="36" spans="1:15" ht="31">
      <c r="A36" s="51" t="s">
        <v>69</v>
      </c>
      <c r="B36" s="52" t="s">
        <v>70</v>
      </c>
      <c r="C36" s="68">
        <v>2</v>
      </c>
      <c r="D36" s="53" t="s">
        <v>52</v>
      </c>
      <c r="E36" s="67" t="s">
        <v>83</v>
      </c>
      <c r="F36" s="67" t="s">
        <v>82</v>
      </c>
      <c r="G36" s="54">
        <v>300000</v>
      </c>
      <c r="H36" s="10">
        <f>G36*C36</f>
        <v>600000</v>
      </c>
      <c r="I36" s="24">
        <v>0.08</v>
      </c>
      <c r="J36" s="25">
        <f>ROUND(H36*I36,0)</f>
        <v>48000</v>
      </c>
      <c r="K36" s="25">
        <f>H36+J36</f>
        <v>648000</v>
      </c>
      <c r="L36" s="26"/>
      <c r="O36" s="21"/>
    </row>
    <row r="37" spans="1:15" ht="15.5">
      <c r="A37" s="51" t="s">
        <v>71</v>
      </c>
      <c r="B37" s="52" t="s">
        <v>38</v>
      </c>
      <c r="C37" s="68">
        <v>4</v>
      </c>
      <c r="D37" s="53" t="s">
        <v>72</v>
      </c>
      <c r="E37" s="9"/>
      <c r="F37" s="9"/>
      <c r="G37" s="54">
        <v>15000</v>
      </c>
      <c r="H37" s="10">
        <f>G37*C37</f>
        <v>60000</v>
      </c>
      <c r="I37" s="24">
        <v>0.08</v>
      </c>
      <c r="J37" s="25">
        <f>ROUND(H37*I37,0)</f>
        <v>4800</v>
      </c>
      <c r="K37" s="25">
        <f>H37+J37</f>
        <v>64800</v>
      </c>
      <c r="L37" s="26"/>
      <c r="O37" s="21"/>
    </row>
    <row r="38" spans="1:15" ht="27" customHeight="1">
      <c r="A38" s="51" t="s">
        <v>73</v>
      </c>
      <c r="B38" s="52" t="s">
        <v>74</v>
      </c>
      <c r="C38" s="68">
        <v>100</v>
      </c>
      <c r="D38" s="53" t="s">
        <v>25</v>
      </c>
      <c r="E38" s="9"/>
      <c r="F38" s="9"/>
      <c r="G38" s="54">
        <v>40000</v>
      </c>
      <c r="H38" s="10">
        <f>G38*C38</f>
        <v>4000000</v>
      </c>
      <c r="I38" s="24">
        <v>0.08</v>
      </c>
      <c r="J38" s="25">
        <f>ROUND(H38*I38,0)</f>
        <v>320000</v>
      </c>
      <c r="K38" s="25">
        <f>H38+J38</f>
        <v>4320000</v>
      </c>
      <c r="L38" s="26"/>
      <c r="O38" s="21"/>
    </row>
    <row r="39" spans="1:15" ht="31">
      <c r="A39" s="61" t="s">
        <v>75</v>
      </c>
      <c r="B39" s="62" t="s">
        <v>76</v>
      </c>
      <c r="C39" s="70">
        <v>1</v>
      </c>
      <c r="D39" s="63" t="s">
        <v>43</v>
      </c>
      <c r="E39" s="12"/>
      <c r="F39" s="12"/>
      <c r="G39" s="64">
        <v>5000000</v>
      </c>
      <c r="H39" s="13">
        <f>G39*C39</f>
        <v>5000000</v>
      </c>
      <c r="I39" s="28">
        <v>0.08</v>
      </c>
      <c r="J39" s="29">
        <f>ROUND(H39*I39,0)</f>
        <v>400000</v>
      </c>
      <c r="K39" s="29">
        <f>H39+J39</f>
        <v>5400000</v>
      </c>
      <c r="L39" s="30"/>
      <c r="O39" s="21"/>
    </row>
    <row r="40" spans="1:15" ht="24.75" customHeight="1">
      <c r="A40" s="71" t="s">
        <v>77</v>
      </c>
      <c r="B40" s="71"/>
      <c r="C40" s="71"/>
      <c r="D40" s="71"/>
      <c r="E40" s="71"/>
      <c r="F40" s="71"/>
      <c r="G40" s="71"/>
      <c r="H40" s="15"/>
      <c r="I40" s="32"/>
      <c r="J40" s="33"/>
      <c r="K40" s="15">
        <f>SUM(H4:H39)</f>
        <v>100210000</v>
      </c>
      <c r="L40" s="34"/>
    </row>
    <row r="41" spans="1:15" ht="24.75" customHeight="1">
      <c r="A41" s="72" t="s">
        <v>90</v>
      </c>
      <c r="B41" s="71"/>
      <c r="C41" s="71"/>
      <c r="D41" s="71"/>
      <c r="E41" s="71"/>
      <c r="F41" s="71"/>
      <c r="G41" s="71"/>
      <c r="H41" s="15"/>
      <c r="I41" s="32"/>
      <c r="J41" s="33"/>
      <c r="K41" s="15">
        <f>SUM(J8:J39)</f>
        <v>8016800</v>
      </c>
      <c r="L41" s="34"/>
    </row>
    <row r="42" spans="1:15" ht="24.75" customHeight="1">
      <c r="A42" s="71" t="s">
        <v>78</v>
      </c>
      <c r="B42" s="71"/>
      <c r="C42" s="71"/>
      <c r="D42" s="71"/>
      <c r="E42" s="71"/>
      <c r="F42" s="71"/>
      <c r="G42" s="71"/>
      <c r="H42" s="16"/>
      <c r="I42" s="16"/>
      <c r="J42" s="35"/>
      <c r="K42" s="15">
        <f>K40+K41</f>
        <v>108226800</v>
      </c>
      <c r="L42" s="34"/>
      <c r="O42" s="43"/>
    </row>
    <row r="43" spans="1:15" ht="21.75" customHeight="1">
      <c r="A43" s="73" t="s">
        <v>79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5"/>
      <c r="O43" s="21"/>
    </row>
    <row r="44" spans="1:15">
      <c r="E44" s="17"/>
      <c r="F44" s="17"/>
      <c r="G44" s="18"/>
      <c r="H44" s="19"/>
      <c r="I44" s="19"/>
      <c r="J44" s="19"/>
      <c r="K44" s="19"/>
    </row>
    <row r="45" spans="1:15">
      <c r="G45" s="6"/>
      <c r="H45" s="6"/>
      <c r="I45" s="6"/>
      <c r="J45" s="36"/>
      <c r="K45" s="37"/>
      <c r="L45" s="38"/>
    </row>
    <row r="46" spans="1:15">
      <c r="G46" s="6"/>
      <c r="J46" s="36"/>
      <c r="K46" s="37"/>
      <c r="L46" s="38"/>
    </row>
    <row r="47" spans="1:15">
      <c r="E47" s="20"/>
      <c r="F47" s="20"/>
      <c r="G47" s="6"/>
      <c r="H47" s="6"/>
      <c r="I47" s="6"/>
      <c r="J47" s="36"/>
      <c r="K47" s="37"/>
      <c r="L47" s="38"/>
    </row>
    <row r="48" spans="1:15">
      <c r="G48" s="21"/>
      <c r="J48" s="36"/>
      <c r="K48" s="37"/>
      <c r="L48" s="38"/>
    </row>
    <row r="49" spans="5:12">
      <c r="E49" s="22"/>
      <c r="F49" s="22"/>
      <c r="G49" s="21"/>
      <c r="H49" s="21"/>
      <c r="I49" s="21"/>
      <c r="J49" s="36"/>
      <c r="K49" s="37"/>
      <c r="L49" s="38"/>
    </row>
    <row r="50" spans="5:12">
      <c r="K50" s="39"/>
    </row>
  </sheetData>
  <mergeCells count="19">
    <mergeCell ref="A1:L1"/>
    <mergeCell ref="A2:L2"/>
    <mergeCell ref="A3:L3"/>
    <mergeCell ref="A4:L4"/>
    <mergeCell ref="I6:J6"/>
    <mergeCell ref="A40:G40"/>
    <mergeCell ref="A41:G41"/>
    <mergeCell ref="A42:G42"/>
    <mergeCell ref="A43:L43"/>
    <mergeCell ref="A6:A7"/>
    <mergeCell ref="B6:B7"/>
    <mergeCell ref="C6:C7"/>
    <mergeCell ref="D6:D7"/>
    <mergeCell ref="E6:E7"/>
    <mergeCell ref="F6:F7"/>
    <mergeCell ref="G6:G7"/>
    <mergeCell ref="H6:H7"/>
    <mergeCell ref="K6:K7"/>
    <mergeCell ref="L6:L7"/>
  </mergeCells>
  <conditionalFormatting sqref="H40:H41">
    <cfRule type="expression" dxfId="1" priority="2">
      <formula>$H$52&lt;&gt;$L$52</formula>
    </cfRule>
  </conditionalFormatting>
  <conditionalFormatting sqref="K40:K42">
    <cfRule type="expression" dxfId="0" priority="1">
      <formula>$H$52&lt;&gt;$L$52</formula>
    </cfRule>
  </conditionalFormatting>
  <dataValidations count="1">
    <dataValidation type="whole" showErrorMessage="1" errorTitle="Lưu ý" error="Nhập số nguyên lớn hơn -999,999,999,999,999 và nhỏ hơn 999,999,999,999,999" promptTitle="Lưu ý" prompt="Nhập số nguyên lớn hơn -999,999,999,999,999 và nhỏ hơn 999,999,999,999,999" sqref="G8:G39" xr:uid="{00000000-0002-0000-0000-000000000000}">
      <formula1>-999999999999999</formula1>
      <formula2>999999999999999</formula2>
    </dataValidation>
  </dataValidations>
  <printOptions horizontalCentered="1"/>
  <pageMargins left="0.18" right="0.17" top="0.34" bottom="0.32" header="0.11" footer="0.14000000000000001"/>
  <pageSetup paperSize="9" scale="65"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Scada_TTLL</vt:lpstr>
      <vt:lpstr>Scada_TTLL!Print_Area</vt:lpstr>
      <vt:lpstr>Scada_TTLL!Print_Titles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2275106050570 - Phạm Ánh Tuyết - 71K28LOGI10</cp:lastModifiedBy>
  <cp:lastPrinted>2026-03-24T07:33:39Z</cp:lastPrinted>
  <dcterms:created xsi:type="dcterms:W3CDTF">2025-03-29T02:44:00Z</dcterms:created>
  <dcterms:modified xsi:type="dcterms:W3CDTF">2026-05-14T01:40:28Z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631EF30DBA8906DB7F3EC1691952B019_42</vt:lpwstr>
  </property>
  <property fmtid="{D5CDD505-2E9C-101B-9397-08002B2CF9AE}" pid="3" name="KSOProductBuildVer">
    <vt:lpwstr>1033-12.1.23155.23155</vt:lpwstr>
  </property>
</Properties>
</file>