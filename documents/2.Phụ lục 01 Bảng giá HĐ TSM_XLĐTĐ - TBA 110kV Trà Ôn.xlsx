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8E8FEC5A-FE8A-4521-B268-D33A0D159967}" xr6:coauthVersionLast="47" xr6:coauthVersionMax="47" xr10:uidLastSave="{00000000-0000-0000-0000-000000000000}"/>
  <bookViews>
    <workbookView xWindow="-108" yWindow="-108" windowWidth="23256" windowHeight="12456" xr2:uid="{00000000-000D-0000-FFFF-FFFF00000000}"/>
  </bookViews>
  <sheets>
    <sheet name="Scada_TTLL" sheetId="1" r:id="rId1"/>
  </sheets>
  <definedNames>
    <definedName name="_xlnm._FilterDatabase" localSheetId="0" hidden="1">Scada_TTLL!$A$7:$L$7</definedName>
    <definedName name="_xlnm.Print_Area" localSheetId="0">Scada_TTLL!$A$1:$L$57</definedName>
    <definedName name="_xlnm.Print_Titles" localSheetId="0">Scada_TTLL!$6:$7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1" l="1"/>
  <c r="K52" i="1"/>
  <c r="K51" i="1"/>
  <c r="K49" i="1"/>
  <c r="K48" i="1"/>
  <c r="K47" i="1"/>
  <c r="K46" i="1"/>
  <c r="K45" i="1"/>
  <c r="K44" i="1"/>
  <c r="K43" i="1"/>
  <c r="K42" i="1"/>
  <c r="K39" i="1"/>
  <c r="K38" i="1"/>
  <c r="K37" i="1"/>
  <c r="K36" i="1"/>
  <c r="K34" i="1"/>
  <c r="K33" i="1"/>
  <c r="K32" i="1"/>
  <c r="K31" i="1"/>
  <c r="K30" i="1"/>
  <c r="K29" i="1"/>
  <c r="K28" i="1"/>
  <c r="K27" i="1"/>
  <c r="K26" i="1"/>
  <c r="K25" i="1"/>
  <c r="K24" i="1"/>
  <c r="K23" i="1"/>
  <c r="K22" i="1"/>
  <c r="K21" i="1"/>
  <c r="K20" i="1"/>
  <c r="K19" i="1"/>
  <c r="K17" i="1"/>
  <c r="K16" i="1"/>
  <c r="K15" i="1"/>
  <c r="K14" i="1"/>
  <c r="K13" i="1"/>
  <c r="K12" i="1"/>
  <c r="K11" i="1"/>
  <c r="K10" i="1"/>
  <c r="J52" i="1"/>
  <c r="J51" i="1"/>
  <c r="J49" i="1"/>
  <c r="J48" i="1"/>
  <c r="J47" i="1"/>
  <c r="J46" i="1"/>
  <c r="J45" i="1"/>
  <c r="J44" i="1"/>
  <c r="J43" i="1"/>
  <c r="J42" i="1"/>
  <c r="J39" i="1"/>
  <c r="J38" i="1"/>
  <c r="J37" i="1"/>
  <c r="J36" i="1"/>
  <c r="J34" i="1"/>
  <c r="J33" i="1"/>
  <c r="J32" i="1"/>
  <c r="J31" i="1"/>
  <c r="J30" i="1"/>
  <c r="J29" i="1"/>
  <c r="J28" i="1"/>
  <c r="J27" i="1"/>
  <c r="J26" i="1"/>
  <c r="J25" i="1"/>
  <c r="J24" i="1"/>
  <c r="J23" i="1"/>
  <c r="J22" i="1"/>
  <c r="J21" i="1"/>
  <c r="J20" i="1"/>
  <c r="J19" i="1"/>
  <c r="J17" i="1"/>
  <c r="J16" i="1"/>
  <c r="J15" i="1"/>
  <c r="J14" i="1"/>
  <c r="J13" i="1"/>
  <c r="J12" i="1"/>
  <c r="J11" i="1"/>
  <c r="J10" i="1"/>
  <c r="K54" i="1"/>
  <c r="H52" i="1"/>
  <c r="H51" i="1"/>
  <c r="H49" i="1"/>
  <c r="H48" i="1"/>
  <c r="H47" i="1"/>
  <c r="H46" i="1"/>
  <c r="H45" i="1"/>
  <c r="H44" i="1"/>
  <c r="H43" i="1"/>
  <c r="H42" i="1"/>
  <c r="H39" i="1"/>
  <c r="H38" i="1"/>
  <c r="H37" i="1"/>
  <c r="H36" i="1"/>
  <c r="H34" i="1"/>
  <c r="H33" i="1"/>
  <c r="H32" i="1"/>
  <c r="H31" i="1"/>
  <c r="H30" i="1"/>
  <c r="H29" i="1"/>
  <c r="H28" i="1"/>
  <c r="H27" i="1"/>
  <c r="H26" i="1"/>
  <c r="H25" i="1"/>
  <c r="H24" i="1"/>
  <c r="H23" i="1"/>
  <c r="H22" i="1"/>
  <c r="H21" i="1"/>
  <c r="H20" i="1"/>
  <c r="H19" i="1"/>
  <c r="H17" i="1"/>
  <c r="H16" i="1"/>
  <c r="H15" i="1"/>
  <c r="H14" i="1"/>
  <c r="H13" i="1"/>
  <c r="H12" i="1"/>
  <c r="H11" i="1"/>
  <c r="H10" i="1"/>
  <c r="K55" i="1" l="1"/>
  <c r="K56" i="1" l="1"/>
</calcChain>
</file>

<file path=xl/sharedStrings.xml><?xml version="1.0" encoding="utf-8"?>
<sst xmlns="http://schemas.openxmlformats.org/spreadsheetml/2006/main" count="193" uniqueCount="117">
  <si>
    <t/>
  </si>
  <si>
    <t>Lô</t>
  </si>
  <si>
    <t>mét</t>
  </si>
  <si>
    <t>Ghi chú</t>
  </si>
  <si>
    <t>Mã hiệu</t>
  </si>
  <si>
    <t>Nguồn sản xuất</t>
  </si>
  <si>
    <t>Đơn giá</t>
  </si>
  <si>
    <t>Stt</t>
  </si>
  <si>
    <t>Mô tả công việc mời thầu</t>
  </si>
  <si>
    <t xml:space="preserve">Đơn vị tính </t>
  </si>
  <si>
    <t>Khối lượng</t>
  </si>
  <si>
    <t>Thành tiền
trước thuế VAT</t>
  </si>
  <si>
    <t>Thuế VAT</t>
  </si>
  <si>
    <t>%</t>
  </si>
  <si>
    <t>Tiền thuế</t>
  </si>
  <si>
    <t>Tổng tiền</t>
  </si>
  <si>
    <t>PHỤ LỤC 01: BẢNG CHI TIẾT GIÁ TRỊ HỢP ĐỒNG</t>
  </si>
  <si>
    <t>Tổng giá trị trước thuế (VNĐ)</t>
  </si>
  <si>
    <t>Tổng giá trị sau thuế (VNĐ)</t>
  </si>
  <si>
    <t>Thiết bị điện thoại IP phone</t>
  </si>
  <si>
    <t>26.1</t>
  </si>
  <si>
    <t>Trọn bộ</t>
  </si>
  <si>
    <t>26.2</t>
  </si>
  <si>
    <t>26.3</t>
  </si>
  <si>
    <t>Thiết bị lọc IP, giới hạn truy cập IP Filter (Firewall)</t>
  </si>
  <si>
    <t>Công trình: Trạm biến áp 110kV Trà Ôn</t>
  </si>
  <si>
    <t>Hạng mục: Cung cấp và thi công hoàn thiện hệ thống Thông tin liên lạc và SCADA - Trạm 110kV Trà Ôn, tỉnh Vĩnh Long</t>
  </si>
  <si>
    <t>PHẦN TTLL CỦA TOÀN CÔNG TRÌNH
Yêu cầu kỹ thuật theo Tập 1.9.1: Thuyết minh- Khối lượng- Bảng kê và Tập 1.9.2 Các bản vẽ TBA110-VT 01-02-03-04-05-06-07-08-09-10</t>
  </si>
  <si>
    <t>PHẦN VẬT TƯ THIẾT BỊ TẠI TBA 110KV TRÀ ÔN, TBA 110KV BÌNH MINH; TẠI TBA 110KV VŨNG LIÊM DO CHỦ ĐẦU TƯ CẤP TẠI KHO CỦA CHỦ ĐẦU TƯ (THỦ ĐỨC), NHÀ THẦU VẬN CHUYỂN ĐẾN CÔNG TRƯỜNG VÀ LẮP ĐẶT HOÀN TẤT TẠI CÔNG TRÌNH</t>
  </si>
  <si>
    <t>26.1.1</t>
  </si>
  <si>
    <t>Thiết bị hộp nối quang Joint box 1x24:
 - Loại lắp trên trụ, có 2 ngõ cho cáp quang 24 sợi
 - Bao gồm các phụ kiện để lắp đặt
(Ghi chú: Box này cho 1 tuyến OPGW)</t>
  </si>
  <si>
    <t>26.1.2</t>
  </si>
  <si>
    <t>Thiết bị Ethernet Switch Distribute Layer 3 (OT-WAN)
- Switch Distribute. Đảm bảo kết nối 2 Switch này và tương thích với mạng truyền dẫn hiện hữu. Bao gồm:
-  04 x port 1000/10000Base-SFP. Bao gồm SFP 1000/10000 Mbps 40-60km, tương thích với hệ thống hiện hữu.
- ≥ 20 x port 10/100/1000 BaseSFP. Bao gồm module quang, đồng theo triển khai kết nối thực tế trạm mới/ hiện hữu, module đồng bộ hãng sản xuất Switch, tương thích với hệ thống hiện hữu.</t>
  </si>
  <si>
    <t>26.1.3</t>
  </si>
  <si>
    <t>Thiết bị Ethernet Switch Layer 3 (IT-WAN)
- Tương thích kết nối với các Switch IT-WAN hiện hữu (T-Marc 3348S/SH).
- Số cổng kết nối:
	≥ 4 cổng 10G SFP+ (Bao gồm modul quang 10Gbps, 40km, single mode, LC).
	≥ 8 cổng 01G SFP (Bao gồm modul quang)
	≥ 4 cổng 01G RJ45 (Bao gồm modul SFP đồng RJ45).</t>
  </si>
  <si>
    <t>26.1.4</t>
  </si>
  <si>
    <t>Tủ TTLL</t>
  </si>
  <si>
    <t>26.1.5</t>
  </si>
  <si>
    <t>26.1.6</t>
  </si>
  <si>
    <t>26.1.7</t>
  </si>
  <si>
    <t>26.1.8</t>
  </si>
  <si>
    <t>PHẦN VẬT TƯ THIẾT BỊ TẠI TBA 110KV TRÀ ÔN, TBA 110KV BÌNH MINH, TẠI TBA 110KV VŨNG LIÊM DO NHÀ THẦU CUNG CẤP, VẬN CHUYỂN ĐẾN CÔNG TRƯỜNG VÀ LẮP ĐẶT HOÀN TẤT TẠI CÔNG TRÌNH</t>
  </si>
  <si>
    <t>26.2.1</t>
  </si>
  <si>
    <t>Thiết bị phối dây quang ODF 1x24:
 - Bao gồm đầy đủ các phụ kiện, vật tư như: dây nhảy pigtail, hộp nhựa gắn dây pigtail, kẹp, ống gen nhiệt…
(Ghi chú: ODF của 1 tuyến OPGW và 2 tuyến ADSS)</t>
  </si>
  <si>
    <t>26.2.2</t>
  </si>
  <si>
    <t>Cáp quang NMOC
(Ghi chú: NMOC này cho 1 tuyến OPGW)</t>
  </si>
  <si>
    <t>26.2.3</t>
  </si>
  <si>
    <t>Module quang SFP cho thiết bị Switch Layer 3 (OT-WAN)</t>
  </si>
  <si>
    <t>26.2.4</t>
  </si>
  <si>
    <t>Module quang SFP cho thiết bị Switch Layer 3 (IT-WAN)</t>
  </si>
  <si>
    <t>26.2.5</t>
  </si>
  <si>
    <t>26.2.6</t>
  </si>
  <si>
    <t>Cáp quang single-mode (dây nhảy quang): Duplex pathcord, SM 9/125µm, SC/FC/ST/LC…  (phù hợp thiết bị), dài 10m</t>
  </si>
  <si>
    <t>26.2.7</t>
  </si>
  <si>
    <t>Trọn bộ cáp quang, cáp mạng, cáp nguồn, cáp điều khiển, aptomat, dây tiếp địa, ống luồn cáp, vật liệu, phụ kiện,… để hoàn thiện hệ thống TTLL tại TBA 110kV Trà Ôn</t>
  </si>
  <si>
    <t>26.2.8</t>
  </si>
  <si>
    <t>26.2.9</t>
  </si>
  <si>
    <t>26.2.10</t>
  </si>
  <si>
    <t>26.2.11</t>
  </si>
  <si>
    <t>Trọn bộ cáp quang, cáp mạng, cáp nguồn, cáp điều khiển, aptomat, dây tiếp địa, ống luồn cáp, vật liệu, phụ kiện,… để hoàn thiện hệ thống TTLL tại TBA 110kV Bình Minh</t>
  </si>
  <si>
    <t>26.2.12</t>
  </si>
  <si>
    <t>26.2.13</t>
  </si>
  <si>
    <t>Module quang SFP kèm license cho thiết bị Switch IT-WAN hiện hữu (T-Marc 3348S/SH)</t>
  </si>
  <si>
    <t>26.2.14</t>
  </si>
  <si>
    <t>26.2.15</t>
  </si>
  <si>
    <t>26.2.16</t>
  </si>
  <si>
    <t>Trọn bộ cáp quang, cáp mạng, cáp nguồn, cáp điều khiển, aptomat, dây tiếp địa, ống luồn cáp, vật liệu, phụ kiện,… để hoàn thiện hệ thống TTLL tại TBA 110kV Vũng Liêm</t>
  </si>
  <si>
    <t>PHẦN VẬT TƯ THIẾT BỊ TẠI ĐIỆN LỰC TRÀ ÔN (Tên gọi trước đây) DO NHÀ THẦU CUNG CẤP,VẬN CHUYỂN ĐẾN CÔNG TRƯỜNG VÀ LẮP ĐẶT HOÀN TẤT TẠI CÔNG TRÌNH</t>
  </si>
  <si>
    <t>26.3.1</t>
  </si>
  <si>
    <t>26.3.2</t>
  </si>
  <si>
    <t>26.3.3</t>
  </si>
  <si>
    <t>26.3.4</t>
  </si>
  <si>
    <t>Trọn bộ cáp quang, cáp mạng, cáp nguồn, cáp điều khiển, aptomat, dây tiếp địa, ống luồn cáp, vật liệu, phụ kiện,… để hoàn thiện hệ thống TTLL tại Điện lực Trà Ôn (Tên gọi trước đây)</t>
  </si>
  <si>
    <t>PHẦN VTTB SCADA CHO TOÀN CÔNG TRÌNH
Yêu cầu kỹ thuật theo Tập 1.9.1: Thuyết minh- Khối lượng- Bảng kê và Tập 1.9.2 Các bản vẽ TBA110-VT 03-06-07-08-09-10</t>
  </si>
  <si>
    <t>27.1</t>
  </si>
  <si>
    <t>PHẦN VTTB SCADA DO CHỦ ĐẦU TƯ CẤP TẠI KHO CỦA CHỦ ĐẦU TƯ (THỦ ĐỨC), NHÀ THẦU VẬN CHUYỂN VÀ LẮP ĐẶT HOÀN TẤT TẠI CÔNG TRÌNH</t>
  </si>
  <si>
    <t>27.1.1</t>
  </si>
  <si>
    <t>Máy tính GATEWAY</t>
  </si>
  <si>
    <t>27.1.2</t>
  </si>
  <si>
    <t>Máy tính HMI (Desktop)</t>
  </si>
  <si>
    <t>27.1.3</t>
  </si>
  <si>
    <t>Màn hình LCD &gt;= 21 inches, chuột, bàn phím và dây kết nối</t>
  </si>
  <si>
    <t>27.1.4</t>
  </si>
  <si>
    <t>Ethernet Switch kết nối IEDs, BCU, Gateway,…</t>
  </si>
  <si>
    <t>27.1.5</t>
  </si>
  <si>
    <t>Thiết bị thu nhận thời gian thực GPS + Anten</t>
  </si>
  <si>
    <t>27.1.6</t>
  </si>
  <si>
    <t>Tủ thiết bị SCADA</t>
  </si>
  <si>
    <t>27.1.7</t>
  </si>
  <si>
    <t>Inverter 220VAC &amp; 110VDC-220VAC, 2000VA (power supply), (Điện áp vào: 220VAC và 110VDC ± 20%. Điện áp ra: 220VAC dạng Sine chuẩn. Công suất ngõ ra: 2KVA)</t>
  </si>
  <si>
    <t>27.1.8</t>
  </si>
  <si>
    <t>Phần mềm Gateway và HMI trọn bộ</t>
  </si>
  <si>
    <t>27.2</t>
  </si>
  <si>
    <t>PHẦN VTTB SCADA DO NHÀ THẦU CUNG CẤP,VẬN CHUYỂN ĐẾN CÔNG TRƯỜNG VÀ LẮP ĐẶT HOÀN TẤT TẠI CÔNG TRÌNH</t>
  </si>
  <si>
    <t>27.2.1</t>
  </si>
  <si>
    <t>Máy tính Kỹ thuật ENGINEERING</t>
  </si>
  <si>
    <t>27.2.2</t>
  </si>
  <si>
    <t>Trọn bộ vật liệu, phụ kiện để thực hiện hoàn chỉnh hệ thống SCADA (Cáp quang, dây nhảy quang, cáp mạng CAT6, cáp nguồn,….)</t>
  </si>
  <si>
    <t>Hộp</t>
  </si>
  <si>
    <t>Bộ</t>
  </si>
  <si>
    <t>Tủ</t>
  </si>
  <si>
    <t>Module</t>
  </si>
  <si>
    <t>Sợi</t>
  </si>
  <si>
    <t>(Bằng chữ: Bảy trăm bốn mươi lăm triệu, một trăm bốn mươi sáu nghìn đồng./.)</t>
  </si>
  <si>
    <t>Advantech/Taiwan</t>
  </si>
  <si>
    <t>CP1575</t>
  </si>
  <si>
    <t>Checkpoint/Taiwan</t>
  </si>
  <si>
    <t>CPKL1-24FO</t>
  </si>
  <si>
    <t>POSTEF/VN</t>
  </si>
  <si>
    <t>10G SFP+ SMF</t>
  </si>
  <si>
    <t>WT/Telco / China</t>
  </si>
  <si>
    <t>DN</t>
  </si>
  <si>
    <t>TSM/VN</t>
  </si>
  <si>
    <t>ODF24</t>
  </si>
  <si>
    <t>Việt Nam</t>
  </si>
  <si>
    <t>(Đính kèm theo Hợp đồng số: 100426/HĐXL/TSM-XLĐTĐ ngày 10/04/2026)</t>
  </si>
  <si>
    <t>ACP-4320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</si>
</sst>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 _₫_-;\-* #,##0\ _₫_-;_-* &quot;-&quot;??\ _₫_-;_-@_-"/>
    <numFmt numFmtId="166" formatCode="_(* #,##0_);_(* \(#,##0\);_(* &quot;-&quot;??_);_(@_)"/>
  </numFmts>
  <fonts count="21" x14ac:knownFonts="1">
    <font>
      <sz val="11"/>
      <color theme="1"/>
      <name val="Calibri"/>
      <family val="2"/>
      <scheme val="minor"/>
    </font>
    <font>
      <b/>
      <sz val="14"/>
      <color rgb="FF000000"/>
      <name val="Times New Roman"/>
      <family val="1"/>
    </font>
    <font>
      <b/>
      <sz val="12"/>
      <color rgb="FF000000"/>
      <name val="Times New Roman"/>
      <family val="1"/>
    </font>
    <font>
      <sz val="12"/>
      <color rgb="FF000000"/>
      <name val="Times New Roman"/>
      <family val="1"/>
    </font>
    <font>
      <sz val="11"/>
      <color theme="1"/>
      <name val="Calibri"/>
      <family val="2"/>
      <scheme val="minor"/>
    </font>
    <font>
      <b/>
      <sz val="12"/>
      <color rgb="FF000000"/>
      <name val="Times New Roman"/>
      <family val="1"/>
    </font>
    <font>
      <sz val="12"/>
      <name val="Times New Roman"/>
      <family val="1"/>
    </font>
    <font>
      <sz val="11"/>
      <color theme="1"/>
      <name val="Calibri"/>
      <family val="2"/>
      <charset val="163"/>
      <scheme val="minor"/>
    </font>
    <font>
      <i/>
      <sz val="12"/>
      <color rgb="FF000000"/>
      <name val="Times New Roman"/>
      <family val="1"/>
    </font>
    <font>
      <sz val="11"/>
      <name val="Calibri"/>
      <family val="2"/>
      <scheme val="minor"/>
    </font>
    <font>
      <b/>
      <sz val="12"/>
      <name val="Times New Roman"/>
      <family val="1"/>
    </font>
    <font>
      <b/>
      <sz val="11"/>
      <color theme="1"/>
      <name val="Calibri"/>
      <family val="2"/>
      <scheme val="minor"/>
    </font>
    <font>
      <b/>
      <sz val="14"/>
      <color theme="1"/>
      <name val="Times New Roman"/>
      <family val="1"/>
    </font>
    <font>
      <b/>
      <i/>
      <sz val="14"/>
      <color rgb="FF000000"/>
      <name val="Times New Roman"/>
      <family val="1"/>
    </font>
    <font>
      <b/>
      <sz val="16"/>
      <color rgb="FF000000"/>
      <name val="Times New Roman"/>
      <family val="1"/>
    </font>
    <font>
      <sz val="10"/>
      <name val="Times New Roman"/>
      <family val="1"/>
    </font>
    <font>
      <b/>
      <i/>
      <sz val="13"/>
      <name val="Times New Roman"/>
      <family val="1"/>
    </font>
    <font>
      <sz val="12"/>
      <color theme="1"/>
      <name val="Times New Roman"/>
      <family val="1"/>
    </font>
    <font>
      <sz val="8"/>
      <name val="Calibri"/>
      <family val="2"/>
      <scheme val="minor"/>
    </font>
    <font>
      <b/>
      <sz val="12"/>
      <color theme="1"/>
      <name val="Times New Roman"/>
      <family val="1"/>
    </font>
    <font>
      <b/>
      <i/>
      <sz val="12"/>
      <color rgb="FF000000"/>
      <name val="Times New Roman"/>
      <family val="1"/>
    </font>
  </fonts>
  <fills count="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5">
    <xf numFmtId="0" fontId="0" fillId="0" borderId="0"/>
    <xf numFmtId="164" fontId="7" fillId="0" borderId="0" applyFont="0" applyFill="0" applyBorder="0" applyAlignment="0" applyProtection="0"/>
    <xf numFmtId="0" fontId="9" fillId="0" borderId="0"/>
    <xf numFmtId="43" fontId="4" fillId="0" borderId="0" applyFont="0" applyFill="0" applyBorder="0" applyAlignment="0" applyProtection="0"/>
    <xf numFmtId="9" fontId="4" fillId="0" borderId="0" applyFont="0" applyFill="0" applyBorder="0" applyAlignment="0" applyProtection="0"/>
  </cellStyleXfs>
  <cellXfs count="9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66" fontId="0" fillId="0" borderId="0" xfId="3" applyNumberFormat="1" applyFont="1" applyAlignment="1">
      <alignment vertical="center"/>
    </xf>
    <xf numFmtId="0" fontId="11" fillId="0" borderId="0" xfId="0" applyFont="1" applyAlignment="1">
      <alignment vertical="center"/>
    </xf>
    <xf numFmtId="166" fontId="0" fillId="0" borderId="0" xfId="0" applyNumberFormat="1" applyAlignment="1">
      <alignment vertical="center"/>
    </xf>
    <xf numFmtId="166" fontId="11" fillId="0" borderId="0" xfId="3" applyNumberFormat="1" applyFont="1" applyAlignment="1">
      <alignment vertical="center"/>
    </xf>
    <xf numFmtId="166" fontId="11" fillId="0" borderId="0" xfId="3" applyNumberFormat="1" applyFont="1" applyAlignment="1">
      <alignment horizontal="center" vertical="center"/>
    </xf>
    <xf numFmtId="166" fontId="0" fillId="0" borderId="0" xfId="3" applyNumberFormat="1" applyFont="1" applyAlignment="1">
      <alignment horizontal="center" vertical="center"/>
    </xf>
    <xf numFmtId="166" fontId="0" fillId="0" borderId="0" xfId="0" applyNumberFormat="1" applyAlignment="1">
      <alignment horizontal="center" vertical="center"/>
    </xf>
    <xf numFmtId="4" fontId="15" fillId="2" borderId="0" xfId="0" applyNumberFormat="1" applyFont="1" applyFill="1" applyAlignment="1">
      <alignment vertical="center" wrapText="1"/>
    </xf>
    <xf numFmtId="3" fontId="15" fillId="2" borderId="0" xfId="0" applyNumberFormat="1" applyFont="1" applyFill="1" applyAlignment="1">
      <alignment vertical="center" wrapText="1"/>
    </xf>
    <xf numFmtId="3" fontId="0" fillId="0" borderId="0" xfId="0" applyNumberFormat="1" applyAlignment="1">
      <alignment vertical="center"/>
    </xf>
    <xf numFmtId="10" fontId="0" fillId="0" borderId="0" xfId="4" applyNumberFormat="1" applyFont="1" applyAlignment="1">
      <alignment vertical="center"/>
    </xf>
    <xf numFmtId="0" fontId="0" fillId="3" borderId="0" xfId="0" applyFill="1" applyAlignment="1">
      <alignment horizontal="center" vertical="center"/>
    </xf>
    <xf numFmtId="10" fontId="11" fillId="3" borderId="0" xfId="4" applyNumberFormat="1" applyFont="1" applyFill="1" applyAlignment="1">
      <alignment vertical="center"/>
    </xf>
    <xf numFmtId="166" fontId="0" fillId="3" borderId="0" xfId="3" applyNumberFormat="1" applyFont="1" applyFill="1" applyAlignment="1">
      <alignment vertical="center"/>
    </xf>
    <xf numFmtId="166" fontId="0" fillId="3" borderId="0" xfId="0" applyNumberFormat="1" applyFill="1" applyAlignment="1">
      <alignment vertical="center"/>
    </xf>
    <xf numFmtId="0" fontId="0" fillId="3" borderId="0" xfId="0" applyFill="1" applyAlignment="1">
      <alignment vertical="center"/>
    </xf>
    <xf numFmtId="0" fontId="1" fillId="4" borderId="0" xfId="0" applyFont="1" applyFill="1" applyAlignment="1">
      <alignment vertical="center" wrapText="1"/>
    </xf>
    <xf numFmtId="0" fontId="12" fillId="4" borderId="0" xfId="0" applyFont="1" applyFill="1" applyAlignment="1">
      <alignment horizontal="center" vertical="center"/>
    </xf>
    <xf numFmtId="0" fontId="0" fillId="4" borderId="0" xfId="0" applyFill="1" applyAlignment="1">
      <alignment vertical="center"/>
    </xf>
    <xf numFmtId="0" fontId="2" fillId="4" borderId="1" xfId="0" applyFont="1" applyFill="1" applyBorder="1" applyAlignment="1">
      <alignment horizontal="center" vertical="center" wrapText="1"/>
    </xf>
    <xf numFmtId="3" fontId="10" fillId="4" borderId="1" xfId="3" applyNumberFormat="1" applyFont="1" applyFill="1" applyBorder="1" applyAlignment="1">
      <alignment horizontal="right" vertical="center" wrapText="1"/>
    </xf>
    <xf numFmtId="3" fontId="10" fillId="4" borderId="1" xfId="0" applyNumberFormat="1" applyFont="1" applyFill="1" applyBorder="1" applyAlignment="1">
      <alignment horizontal="center" vertical="center" wrapText="1"/>
    </xf>
    <xf numFmtId="4" fontId="15" fillId="4" borderId="1" xfId="0" applyNumberFormat="1" applyFont="1" applyFill="1" applyBorder="1" applyAlignment="1">
      <alignment horizontal="center" vertical="center" wrapText="1"/>
    </xf>
    <xf numFmtId="0" fontId="0" fillId="4" borderId="1" xfId="0" applyFill="1" applyBorder="1" applyAlignment="1">
      <alignment vertical="center"/>
    </xf>
    <xf numFmtId="3" fontId="10" fillId="4" borderId="1" xfId="3" applyNumberFormat="1" applyFont="1" applyFill="1" applyBorder="1" applyAlignment="1">
      <alignment vertical="center" wrapText="1"/>
    </xf>
    <xf numFmtId="3" fontId="15" fillId="4" borderId="1" xfId="0" applyNumberFormat="1" applyFont="1" applyFill="1" applyBorder="1" applyAlignment="1">
      <alignment horizontal="center" vertical="center" wrapText="1"/>
    </xf>
    <xf numFmtId="165" fontId="6" fillId="0" borderId="2" xfId="1" applyNumberFormat="1"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vertical="center" wrapText="1"/>
    </xf>
    <xf numFmtId="43" fontId="2" fillId="4" borderId="3" xfId="3" applyFont="1" applyFill="1" applyBorder="1" applyAlignment="1">
      <alignment horizontal="center" vertical="center"/>
    </xf>
    <xf numFmtId="165" fontId="10" fillId="4" borderId="3" xfId="1" applyNumberFormat="1" applyFont="1" applyFill="1" applyBorder="1" applyAlignment="1">
      <alignment horizontal="center" vertical="center"/>
    </xf>
    <xf numFmtId="166" fontId="10" fillId="4" borderId="3" xfId="3" applyNumberFormat="1" applyFont="1" applyFill="1" applyBorder="1" applyAlignment="1">
      <alignment horizontal="right" vertical="center"/>
    </xf>
    <xf numFmtId="166" fontId="10" fillId="4" borderId="3" xfId="3" applyNumberFormat="1" applyFont="1" applyFill="1" applyBorder="1" applyAlignment="1">
      <alignment horizontal="left" vertical="center"/>
    </xf>
    <xf numFmtId="165" fontId="10" fillId="4" borderId="3" xfId="1" applyNumberFormat="1" applyFont="1" applyFill="1" applyBorder="1" applyAlignment="1">
      <alignment horizontal="left" vertical="center"/>
    </xf>
    <xf numFmtId="0" fontId="11" fillId="4" borderId="3" xfId="0" applyFont="1" applyFill="1" applyBorder="1" applyAlignment="1">
      <alignment vertical="center"/>
    </xf>
    <xf numFmtId="0" fontId="2" fillId="4" borderId="2" xfId="0" applyFont="1" applyFill="1" applyBorder="1" applyAlignment="1">
      <alignment horizontal="center" vertical="center"/>
    </xf>
    <xf numFmtId="0" fontId="2" fillId="0" borderId="2" xfId="0" applyFont="1" applyBorder="1" applyAlignment="1">
      <alignment vertical="center" wrapText="1"/>
    </xf>
    <xf numFmtId="43" fontId="2" fillId="0" borderId="2" xfId="3" applyFont="1" applyBorder="1" applyAlignment="1">
      <alignment horizontal="center" vertical="center"/>
    </xf>
    <xf numFmtId="0" fontId="2" fillId="0" borderId="2" xfId="0" applyFont="1" applyBorder="1" applyAlignment="1">
      <alignment horizontal="center" vertical="center"/>
    </xf>
    <xf numFmtId="0" fontId="19" fillId="0" borderId="2" xfId="0" applyFont="1" applyBorder="1" applyAlignment="1">
      <alignment horizontal="center" vertical="center" wrapText="1"/>
    </xf>
    <xf numFmtId="166" fontId="10" fillId="4" borderId="2" xfId="3" applyNumberFormat="1" applyFont="1" applyFill="1" applyBorder="1" applyAlignment="1">
      <alignment horizontal="right" vertical="center"/>
    </xf>
    <xf numFmtId="166" fontId="10" fillId="4" borderId="2" xfId="3" applyNumberFormat="1" applyFont="1" applyFill="1" applyBorder="1" applyAlignment="1">
      <alignment horizontal="left" vertical="center"/>
    </xf>
    <xf numFmtId="9" fontId="10" fillId="4" borderId="2" xfId="4" applyFont="1" applyFill="1" applyBorder="1" applyAlignment="1">
      <alignment horizontal="center" vertical="center"/>
    </xf>
    <xf numFmtId="0" fontId="20" fillId="4"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0" borderId="2" xfId="0" applyFont="1" applyBorder="1" applyAlignment="1">
      <alignment vertical="center" wrapText="1"/>
    </xf>
    <xf numFmtId="43" fontId="3" fillId="0" borderId="2" xfId="3" applyFont="1" applyBorder="1" applyAlignment="1">
      <alignment horizontal="center" vertical="center"/>
    </xf>
    <xf numFmtId="0" fontId="3" fillId="0" borderId="2" xfId="0" applyFont="1" applyBorder="1" applyAlignment="1">
      <alignment horizontal="center" vertical="center"/>
    </xf>
    <xf numFmtId="0" fontId="17" fillId="0" borderId="2" xfId="0" applyFont="1" applyBorder="1" applyAlignment="1">
      <alignment horizontal="center" vertical="center" wrapText="1"/>
    </xf>
    <xf numFmtId="166" fontId="6" fillId="4" borderId="2" xfId="3" applyNumberFormat="1" applyFont="1" applyFill="1" applyBorder="1" applyAlignment="1">
      <alignment horizontal="right" vertical="center"/>
    </xf>
    <xf numFmtId="166" fontId="6" fillId="4" borderId="2" xfId="3" applyNumberFormat="1" applyFont="1" applyFill="1" applyBorder="1" applyAlignment="1">
      <alignment horizontal="left" vertical="center"/>
    </xf>
    <xf numFmtId="9" fontId="6" fillId="4" borderId="2" xfId="4" applyFont="1" applyFill="1" applyBorder="1" applyAlignment="1">
      <alignment horizontal="center" vertical="center"/>
    </xf>
    <xf numFmtId="0" fontId="8" fillId="4" borderId="2" xfId="0" applyFont="1" applyFill="1" applyBorder="1" applyAlignment="1">
      <alignment horizontal="center" vertical="center" wrapText="1"/>
    </xf>
    <xf numFmtId="0" fontId="8" fillId="4" borderId="2" xfId="0" applyFont="1" applyFill="1" applyBorder="1" applyAlignment="1">
      <alignment vertical="center" wrapText="1"/>
    </xf>
    <xf numFmtId="43" fontId="3" fillId="4" borderId="2" xfId="3" applyFont="1" applyFill="1" applyBorder="1" applyAlignment="1">
      <alignment horizontal="center" vertical="center"/>
    </xf>
    <xf numFmtId="165" fontId="6" fillId="4" borderId="2" xfId="1"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4" borderId="2" xfId="0" applyFill="1" applyBorder="1" applyAlignment="1">
      <alignment vertical="center"/>
    </xf>
    <xf numFmtId="0" fontId="0" fillId="4" borderId="2" xfId="0" applyFill="1" applyBorder="1" applyAlignment="1">
      <alignment horizontal="center" vertical="center"/>
    </xf>
    <xf numFmtId="0" fontId="17" fillId="0" borderId="2" xfId="0" applyFont="1" applyBorder="1" applyAlignment="1">
      <alignment horizontal="center" vertical="center"/>
    </xf>
    <xf numFmtId="0" fontId="6" fillId="4" borderId="2" xfId="0" applyFont="1" applyFill="1" applyBorder="1" applyAlignment="1">
      <alignment horizontal="center" vertical="center"/>
    </xf>
    <xf numFmtId="0" fontId="6" fillId="4" borderId="2" xfId="0" applyFont="1" applyFill="1" applyBorder="1" applyAlignment="1">
      <alignment vertical="center" wrapText="1"/>
    </xf>
    <xf numFmtId="0" fontId="3" fillId="4" borderId="2" xfId="0" applyFont="1" applyFill="1" applyBorder="1" applyAlignment="1">
      <alignment vertical="center" wrapText="1"/>
    </xf>
    <xf numFmtId="0" fontId="2" fillId="4" borderId="2" xfId="0" applyFont="1" applyFill="1" applyBorder="1" applyAlignment="1">
      <alignment vertical="center" wrapText="1"/>
    </xf>
    <xf numFmtId="43" fontId="2" fillId="4" borderId="2" xfId="3" applyFont="1" applyFill="1" applyBorder="1" applyAlignment="1">
      <alignment horizontal="center" vertical="center"/>
    </xf>
    <xf numFmtId="0" fontId="17" fillId="0" borderId="2" xfId="0" applyFont="1" applyBorder="1" applyAlignment="1">
      <alignment horizontal="center"/>
    </xf>
    <xf numFmtId="43" fontId="6" fillId="4" borderId="2" xfId="3" applyFont="1" applyFill="1" applyBorder="1" applyAlignment="1">
      <alignment horizontal="center" vertical="center"/>
    </xf>
    <xf numFmtId="0" fontId="9" fillId="4" borderId="2" xfId="0" applyFont="1" applyFill="1" applyBorder="1" applyAlignment="1">
      <alignment vertical="center"/>
    </xf>
    <xf numFmtId="0" fontId="10" fillId="4" borderId="2" xfId="0" applyFont="1" applyFill="1" applyBorder="1" applyAlignment="1">
      <alignment horizontal="center" vertical="center"/>
    </xf>
    <xf numFmtId="0" fontId="10" fillId="4" borderId="2" xfId="0" applyFont="1" applyFill="1" applyBorder="1" applyAlignment="1">
      <alignment vertical="center" wrapText="1"/>
    </xf>
    <xf numFmtId="0" fontId="11" fillId="4" borderId="2" xfId="0" applyFont="1" applyFill="1" applyBorder="1" applyAlignment="1">
      <alignment vertical="center"/>
    </xf>
    <xf numFmtId="165" fontId="10" fillId="4" borderId="2" xfId="1" applyNumberFormat="1" applyFont="1" applyFill="1" applyBorder="1" applyAlignment="1">
      <alignment horizontal="center" vertical="center"/>
    </xf>
    <xf numFmtId="0" fontId="19" fillId="0" borderId="2" xfId="0" applyFont="1" applyBorder="1" applyAlignment="1">
      <alignment horizontal="center"/>
    </xf>
    <xf numFmtId="0" fontId="20" fillId="4" borderId="2" xfId="0" applyFont="1" applyFill="1" applyBorder="1" applyAlignment="1">
      <alignment vertical="center" wrapText="1"/>
    </xf>
    <xf numFmtId="0" fontId="3" fillId="4" borderId="4" xfId="0" applyFont="1" applyFill="1" applyBorder="1" applyAlignment="1">
      <alignment horizontal="center" vertical="center"/>
    </xf>
    <xf numFmtId="0" fontId="3" fillId="4" borderId="4" xfId="0" applyFont="1" applyFill="1" applyBorder="1" applyAlignment="1">
      <alignment vertical="center" wrapText="1"/>
    </xf>
    <xf numFmtId="165" fontId="6" fillId="4" borderId="4" xfId="1" applyNumberFormat="1" applyFont="1" applyFill="1" applyBorder="1" applyAlignment="1">
      <alignment horizontal="center" vertical="center"/>
    </xf>
    <xf numFmtId="0" fontId="17" fillId="0" borderId="4" xfId="0" applyFont="1" applyBorder="1" applyAlignment="1">
      <alignment horizontal="center"/>
    </xf>
    <xf numFmtId="166" fontId="6" fillId="4" borderId="4" xfId="3" applyNumberFormat="1" applyFont="1" applyFill="1" applyBorder="1" applyAlignment="1">
      <alignment horizontal="right" vertical="center"/>
    </xf>
    <xf numFmtId="166" fontId="6" fillId="4" borderId="4" xfId="3" applyNumberFormat="1" applyFont="1" applyFill="1" applyBorder="1" applyAlignment="1">
      <alignment horizontal="left" vertical="center"/>
    </xf>
    <xf numFmtId="9" fontId="6" fillId="4" borderId="4" xfId="4" applyFont="1" applyFill="1" applyBorder="1" applyAlignment="1">
      <alignment horizontal="center" vertical="center"/>
    </xf>
    <xf numFmtId="0" fontId="8" fillId="4" borderId="4" xfId="0" applyFont="1" applyFill="1" applyBorder="1" applyAlignment="1">
      <alignment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xf numFmtId="0" fontId="13" fillId="0" borderId="0" xfId="0" applyFont="1" applyAlignment="1">
      <alignment horizontal="center" vertical="center" wrapText="1"/>
    </xf>
    <xf numFmtId="0" fontId="2" fillId="4" borderId="1" xfId="0" applyFont="1" applyFill="1" applyBorder="1" applyAlignment="1">
      <alignment horizontal="center" vertical="center" wrapText="1"/>
    </xf>
    <xf numFmtId="4" fontId="10" fillId="4" borderId="1" xfId="0" applyNumberFormat="1"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41" fontId="0" fillId="0" borderId="0" xfId="0" applyNumberFormat="1" applyAlignment="1">
      <alignment vertical="center"/>
    </xf>
    <xf numFmtId="41" fontId="11" fillId="0" borderId="0" xfId="0" applyNumberFormat="1" applyFont="1" applyAlignment="1">
      <alignment vertical="center"/>
    </xf>
  </cellXfs>
  <cellStyles count="5">
    <cellStyle name="Comma" xfId="3" builtinId="3"/>
    <cellStyle name="Comma 2" xfId="1" xr:uid="{00000000-0005-0000-0000-000001000000}"/>
    <cellStyle name="Normal" xfId="0" builtinId="0"/>
    <cellStyle name="Normal 2" xfId="2" xr:uid="{00000000-0005-0000-0000-000003000000}"/>
    <cellStyle name="Percent" xfId="4" builtinId="5"/>
  </cellStyles>
  <dxfs count="2">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4"/>
  <sheetViews>
    <sheetView tabSelected="1" view="pageBreakPreview" zoomScale="85" zoomScaleNormal="85" zoomScaleSheetLayoutView="85" workbookViewId="0">
      <pane xSplit="4" ySplit="7" topLeftCell="E48" activePane="bottomRight" state="frozen"/>
      <selection pane="topRight" activeCell="E1" sqref="E1"/>
      <selection pane="bottomLeft" activeCell="A8" sqref="A8"/>
      <selection pane="bottomRight" activeCell="M54" sqref="M54"/>
    </sheetView>
  </sheetViews>
  <sheetFormatPr defaultColWidth="8.88671875" defaultRowHeight="14.4" x14ac:dyDescent="0.3"/>
  <cols>
    <col min="1" max="1" width="9.44140625" style="1" customWidth="1"/>
    <col min="2" max="2" width="60.33203125" style="2" customWidth="1"/>
    <col min="3" max="3" width="11.33203125" style="15" customWidth="1"/>
    <col min="4" max="4" width="12.44140625" style="3" customWidth="1"/>
    <col min="5" max="5" width="18.109375" style="3" bestFit="1" customWidth="1"/>
    <col min="6" max="6" width="22.6640625" style="3" bestFit="1" customWidth="1"/>
    <col min="7" max="7" width="16.6640625" style="19" bestFit="1" customWidth="1"/>
    <col min="8" max="8" width="17.88671875" style="1" bestFit="1" customWidth="1"/>
    <col min="9" max="9" width="9.44140625" style="1" customWidth="1"/>
    <col min="10" max="10" width="16.44140625" style="1" bestFit="1" customWidth="1"/>
    <col min="11" max="11" width="18.109375" style="1" customWidth="1"/>
    <col min="12" max="12" width="15.6640625" style="1" customWidth="1"/>
    <col min="13" max="13" width="12.6640625" style="94" bestFit="1" customWidth="1"/>
    <col min="14" max="16384" width="8.88671875" style="1"/>
  </cols>
  <sheetData>
    <row r="1" spans="1:13" ht="24.75" customHeight="1" x14ac:dyDescent="0.3">
      <c r="A1" s="87" t="s">
        <v>16</v>
      </c>
      <c r="B1" s="87"/>
      <c r="C1" s="87"/>
      <c r="D1" s="87"/>
      <c r="E1" s="87"/>
      <c r="F1" s="87"/>
      <c r="G1" s="87"/>
      <c r="H1" s="87"/>
      <c r="I1" s="87"/>
      <c r="J1" s="87"/>
      <c r="K1" s="87"/>
      <c r="L1" s="87"/>
    </row>
    <row r="2" spans="1:13" ht="24.75" customHeight="1" x14ac:dyDescent="0.3">
      <c r="A2" s="88" t="s">
        <v>25</v>
      </c>
      <c r="B2" s="88"/>
      <c r="C2" s="88"/>
      <c r="D2" s="88"/>
      <c r="E2" s="88"/>
      <c r="F2" s="88"/>
      <c r="G2" s="88"/>
      <c r="H2" s="88"/>
      <c r="I2" s="88"/>
      <c r="J2" s="88"/>
      <c r="K2" s="88"/>
      <c r="L2" s="88"/>
    </row>
    <row r="3" spans="1:13" ht="24.75" customHeight="1" x14ac:dyDescent="0.3">
      <c r="A3" s="88" t="s">
        <v>26</v>
      </c>
      <c r="B3" s="88"/>
      <c r="C3" s="88"/>
      <c r="D3" s="88"/>
      <c r="E3" s="88"/>
      <c r="F3" s="88"/>
      <c r="G3" s="88"/>
      <c r="H3" s="88"/>
      <c r="I3" s="88"/>
      <c r="J3" s="88"/>
      <c r="K3" s="88"/>
      <c r="L3" s="88"/>
    </row>
    <row r="4" spans="1:13" ht="24.75" customHeight="1" x14ac:dyDescent="0.3">
      <c r="A4" s="89" t="s">
        <v>115</v>
      </c>
      <c r="B4" s="89"/>
      <c r="C4" s="89"/>
      <c r="D4" s="89"/>
      <c r="E4" s="89"/>
      <c r="F4" s="89"/>
      <c r="G4" s="89"/>
      <c r="H4" s="89"/>
      <c r="I4" s="89"/>
      <c r="J4" s="89"/>
      <c r="K4" s="89"/>
      <c r="L4" s="89"/>
    </row>
    <row r="5" spans="1:13" ht="17.399999999999999" x14ac:dyDescent="0.3">
      <c r="A5" s="20"/>
      <c r="B5" s="20"/>
      <c r="C5" s="20"/>
      <c r="D5" s="20"/>
      <c r="E5" s="21"/>
      <c r="F5" s="21"/>
      <c r="G5" s="21"/>
      <c r="H5" s="21"/>
      <c r="I5" s="21"/>
      <c r="J5" s="21"/>
      <c r="K5" s="21"/>
      <c r="L5" s="22"/>
    </row>
    <row r="6" spans="1:13" ht="27" customHeight="1" x14ac:dyDescent="0.3">
      <c r="A6" s="90" t="s">
        <v>7</v>
      </c>
      <c r="B6" s="90" t="s">
        <v>8</v>
      </c>
      <c r="C6" s="90" t="s">
        <v>10</v>
      </c>
      <c r="D6" s="90" t="s">
        <v>9</v>
      </c>
      <c r="E6" s="90" t="s">
        <v>4</v>
      </c>
      <c r="F6" s="90" t="s">
        <v>5</v>
      </c>
      <c r="G6" s="90" t="s">
        <v>6</v>
      </c>
      <c r="H6" s="90" t="s">
        <v>11</v>
      </c>
      <c r="I6" s="90" t="s">
        <v>12</v>
      </c>
      <c r="J6" s="90"/>
      <c r="K6" s="90" t="s">
        <v>15</v>
      </c>
      <c r="L6" s="93" t="s">
        <v>3</v>
      </c>
    </row>
    <row r="7" spans="1:13" ht="31.5" customHeight="1" x14ac:dyDescent="0.3">
      <c r="A7" s="90"/>
      <c r="B7" s="90"/>
      <c r="C7" s="90"/>
      <c r="D7" s="90"/>
      <c r="E7" s="90"/>
      <c r="F7" s="90"/>
      <c r="G7" s="90"/>
      <c r="H7" s="90"/>
      <c r="I7" s="23" t="s">
        <v>13</v>
      </c>
      <c r="J7" s="23" t="s">
        <v>14</v>
      </c>
      <c r="K7" s="90"/>
      <c r="L7" s="93"/>
    </row>
    <row r="8" spans="1:13" s="5" customFormat="1" ht="62.4" x14ac:dyDescent="0.3">
      <c r="A8" s="31">
        <v>26</v>
      </c>
      <c r="B8" s="32" t="s">
        <v>27</v>
      </c>
      <c r="C8" s="33"/>
      <c r="D8" s="31"/>
      <c r="E8" s="34"/>
      <c r="F8" s="34"/>
      <c r="G8" s="35"/>
      <c r="H8" s="36"/>
      <c r="I8" s="37"/>
      <c r="J8" s="35"/>
      <c r="K8" s="35"/>
      <c r="L8" s="38"/>
      <c r="M8" s="95"/>
    </row>
    <row r="9" spans="1:13" s="5" customFormat="1" ht="78" x14ac:dyDescent="0.3">
      <c r="A9" s="39" t="s">
        <v>20</v>
      </c>
      <c r="B9" s="40" t="s">
        <v>28</v>
      </c>
      <c r="C9" s="41"/>
      <c r="D9" s="42"/>
      <c r="E9" s="43"/>
      <c r="F9" s="43"/>
      <c r="G9" s="44"/>
      <c r="H9" s="45"/>
      <c r="I9" s="46"/>
      <c r="J9" s="44"/>
      <c r="K9" s="44"/>
      <c r="L9" s="47"/>
      <c r="M9" s="95"/>
    </row>
    <row r="10" spans="1:13" ht="62.4" x14ac:dyDescent="0.3">
      <c r="A10" s="48" t="s">
        <v>29</v>
      </c>
      <c r="B10" s="49" t="s">
        <v>30</v>
      </c>
      <c r="C10" s="50">
        <v>1</v>
      </c>
      <c r="D10" s="51" t="s">
        <v>98</v>
      </c>
      <c r="E10" s="52"/>
      <c r="F10" s="52"/>
      <c r="G10" s="53">
        <v>3000000</v>
      </c>
      <c r="H10" s="54">
        <f>G10*C10</f>
        <v>3000000</v>
      </c>
      <c r="I10" s="55">
        <v>0.08</v>
      </c>
      <c r="J10" s="53">
        <f>I10*H10</f>
        <v>240000</v>
      </c>
      <c r="K10" s="53">
        <f>+H10+J10</f>
        <v>3240000</v>
      </c>
      <c r="L10" s="56"/>
    </row>
    <row r="11" spans="1:13" ht="124.8" x14ac:dyDescent="0.3">
      <c r="A11" s="48" t="s">
        <v>31</v>
      </c>
      <c r="B11" s="49" t="s">
        <v>32</v>
      </c>
      <c r="C11" s="50">
        <v>2</v>
      </c>
      <c r="D11" s="51" t="s">
        <v>99</v>
      </c>
      <c r="E11" s="52"/>
      <c r="F11" s="52"/>
      <c r="G11" s="53">
        <v>1000000</v>
      </c>
      <c r="H11" s="54">
        <f t="shared" ref="H11:H17" si="0">G11*C11</f>
        <v>2000000</v>
      </c>
      <c r="I11" s="55">
        <v>0.08</v>
      </c>
      <c r="J11" s="53">
        <f t="shared" ref="J11:J17" si="1">I11*H11</f>
        <v>160000</v>
      </c>
      <c r="K11" s="53">
        <f t="shared" ref="K11:K17" si="2">+H11+J11</f>
        <v>2160000</v>
      </c>
      <c r="L11" s="57"/>
    </row>
    <row r="12" spans="1:13" ht="124.8" x14ac:dyDescent="0.3">
      <c r="A12" s="48" t="s">
        <v>33</v>
      </c>
      <c r="B12" s="49" t="s">
        <v>34</v>
      </c>
      <c r="C12" s="58">
        <v>1</v>
      </c>
      <c r="D12" s="48" t="s">
        <v>99</v>
      </c>
      <c r="E12" s="59"/>
      <c r="F12" s="30"/>
      <c r="G12" s="53">
        <v>1000000</v>
      </c>
      <c r="H12" s="54">
        <f t="shared" si="0"/>
        <v>1000000</v>
      </c>
      <c r="I12" s="55">
        <v>0.08</v>
      </c>
      <c r="J12" s="53">
        <f t="shared" si="1"/>
        <v>80000</v>
      </c>
      <c r="K12" s="53">
        <f t="shared" si="2"/>
        <v>1080000</v>
      </c>
      <c r="L12" s="57"/>
    </row>
    <row r="13" spans="1:13" ht="15.6" x14ac:dyDescent="0.3">
      <c r="A13" s="48" t="s">
        <v>35</v>
      </c>
      <c r="B13" s="49" t="s">
        <v>36</v>
      </c>
      <c r="C13" s="58">
        <v>1</v>
      </c>
      <c r="D13" s="48" t="s">
        <v>100</v>
      </c>
      <c r="E13" s="60"/>
      <c r="F13" s="61"/>
      <c r="G13" s="53">
        <v>7000000</v>
      </c>
      <c r="H13" s="54">
        <f t="shared" si="0"/>
        <v>7000000</v>
      </c>
      <c r="I13" s="55">
        <v>0.08</v>
      </c>
      <c r="J13" s="53">
        <f t="shared" si="1"/>
        <v>560000</v>
      </c>
      <c r="K13" s="53">
        <f t="shared" si="2"/>
        <v>7560000</v>
      </c>
      <c r="L13" s="62"/>
    </row>
    <row r="14" spans="1:13" ht="15.6" x14ac:dyDescent="0.3">
      <c r="A14" s="48" t="s">
        <v>37</v>
      </c>
      <c r="B14" s="49" t="s">
        <v>19</v>
      </c>
      <c r="C14" s="58">
        <v>1</v>
      </c>
      <c r="D14" s="48" t="s">
        <v>99</v>
      </c>
      <c r="E14" s="52"/>
      <c r="F14" s="52"/>
      <c r="G14" s="53">
        <v>300000</v>
      </c>
      <c r="H14" s="54">
        <f t="shared" si="0"/>
        <v>300000</v>
      </c>
      <c r="I14" s="55">
        <v>0.08</v>
      </c>
      <c r="J14" s="53">
        <f t="shared" si="1"/>
        <v>24000</v>
      </c>
      <c r="K14" s="53">
        <f t="shared" si="2"/>
        <v>324000</v>
      </c>
      <c r="L14" s="56"/>
    </row>
    <row r="15" spans="1:13" ht="15.6" x14ac:dyDescent="0.3">
      <c r="A15" s="48" t="s">
        <v>38</v>
      </c>
      <c r="B15" s="49" t="s">
        <v>24</v>
      </c>
      <c r="C15" s="58">
        <v>1</v>
      </c>
      <c r="D15" s="48" t="s">
        <v>99</v>
      </c>
      <c r="E15" s="63"/>
      <c r="F15" s="64"/>
      <c r="G15" s="53">
        <v>1000000</v>
      </c>
      <c r="H15" s="54">
        <f t="shared" si="0"/>
        <v>1000000</v>
      </c>
      <c r="I15" s="55">
        <v>0.08</v>
      </c>
      <c r="J15" s="53">
        <f t="shared" si="1"/>
        <v>80000</v>
      </c>
      <c r="K15" s="53">
        <f t="shared" si="2"/>
        <v>1080000</v>
      </c>
      <c r="L15" s="62"/>
    </row>
    <row r="16" spans="1:13" ht="124.8" x14ac:dyDescent="0.3">
      <c r="A16" s="65" t="s">
        <v>39</v>
      </c>
      <c r="B16" s="66" t="s">
        <v>32</v>
      </c>
      <c r="C16" s="58">
        <v>1</v>
      </c>
      <c r="D16" s="48" t="s">
        <v>99</v>
      </c>
      <c r="E16" s="59"/>
      <c r="F16" s="30"/>
      <c r="G16" s="53">
        <v>1000000</v>
      </c>
      <c r="H16" s="54">
        <f t="shared" si="0"/>
        <v>1000000</v>
      </c>
      <c r="I16" s="55">
        <v>0.08</v>
      </c>
      <c r="J16" s="53">
        <f t="shared" si="1"/>
        <v>80000</v>
      </c>
      <c r="K16" s="53">
        <f t="shared" si="2"/>
        <v>1080000</v>
      </c>
      <c r="L16" s="62"/>
    </row>
    <row r="17" spans="1:13" ht="124.8" x14ac:dyDescent="0.3">
      <c r="A17" s="48" t="s">
        <v>40</v>
      </c>
      <c r="B17" s="67" t="s">
        <v>32</v>
      </c>
      <c r="C17" s="58">
        <v>1</v>
      </c>
      <c r="D17" s="48" t="s">
        <v>99</v>
      </c>
      <c r="E17" s="52"/>
      <c r="F17" s="52"/>
      <c r="G17" s="53">
        <v>1000000</v>
      </c>
      <c r="H17" s="54">
        <f t="shared" si="0"/>
        <v>1000000</v>
      </c>
      <c r="I17" s="55">
        <v>0.08</v>
      </c>
      <c r="J17" s="53">
        <f t="shared" si="1"/>
        <v>80000</v>
      </c>
      <c r="K17" s="53">
        <f t="shared" si="2"/>
        <v>1080000</v>
      </c>
      <c r="L17" s="56"/>
    </row>
    <row r="18" spans="1:13" s="5" customFormat="1" ht="62.4" x14ac:dyDescent="0.3">
      <c r="A18" s="39" t="s">
        <v>22</v>
      </c>
      <c r="B18" s="68" t="s">
        <v>41</v>
      </c>
      <c r="C18" s="69" t="s">
        <v>0</v>
      </c>
      <c r="D18" s="39" t="s">
        <v>0</v>
      </c>
      <c r="E18" s="43"/>
      <c r="F18" s="43"/>
      <c r="G18" s="44"/>
      <c r="H18" s="45"/>
      <c r="I18" s="46"/>
      <c r="J18" s="44"/>
      <c r="K18" s="44"/>
      <c r="L18" s="47"/>
      <c r="M18" s="95"/>
    </row>
    <row r="19" spans="1:13" ht="62.4" x14ac:dyDescent="0.3">
      <c r="A19" s="48" t="s">
        <v>42</v>
      </c>
      <c r="B19" s="67" t="s">
        <v>43</v>
      </c>
      <c r="C19" s="58">
        <v>2</v>
      </c>
      <c r="D19" s="48" t="s">
        <v>98</v>
      </c>
      <c r="E19" s="52"/>
      <c r="F19" s="52"/>
      <c r="G19" s="53">
        <v>3500000</v>
      </c>
      <c r="H19" s="54">
        <f t="shared" ref="H19:H34" si="3">G19*C19</f>
        <v>7000000</v>
      </c>
      <c r="I19" s="55">
        <v>0.08</v>
      </c>
      <c r="J19" s="53">
        <f t="shared" ref="J19:J34" si="4">I19*H19</f>
        <v>560000</v>
      </c>
      <c r="K19" s="53">
        <f t="shared" ref="K19:K34" si="5">+H19+J19</f>
        <v>7560000</v>
      </c>
      <c r="L19" s="62"/>
    </row>
    <row r="20" spans="1:13" ht="31.2" x14ac:dyDescent="0.3">
      <c r="A20" s="48" t="s">
        <v>44</v>
      </c>
      <c r="B20" s="67" t="s">
        <v>45</v>
      </c>
      <c r="C20" s="58">
        <v>150</v>
      </c>
      <c r="D20" s="48" t="s">
        <v>2</v>
      </c>
      <c r="E20" s="48" t="s">
        <v>107</v>
      </c>
      <c r="F20" s="30" t="s">
        <v>108</v>
      </c>
      <c r="G20" s="53">
        <v>25000</v>
      </c>
      <c r="H20" s="54">
        <f t="shared" si="3"/>
        <v>3750000</v>
      </c>
      <c r="I20" s="55">
        <v>0.08</v>
      </c>
      <c r="J20" s="53">
        <f t="shared" si="4"/>
        <v>300000</v>
      </c>
      <c r="K20" s="53">
        <f t="shared" si="5"/>
        <v>4050000</v>
      </c>
      <c r="L20" s="57"/>
    </row>
    <row r="21" spans="1:13" ht="15.6" x14ac:dyDescent="0.3">
      <c r="A21" s="48" t="s">
        <v>46</v>
      </c>
      <c r="B21" s="67" t="s">
        <v>47</v>
      </c>
      <c r="C21" s="58">
        <v>4</v>
      </c>
      <c r="D21" s="48" t="s">
        <v>101</v>
      </c>
      <c r="E21" s="59" t="s">
        <v>109</v>
      </c>
      <c r="F21" s="30" t="s">
        <v>110</v>
      </c>
      <c r="G21" s="53">
        <v>10000000</v>
      </c>
      <c r="H21" s="54">
        <f t="shared" si="3"/>
        <v>40000000</v>
      </c>
      <c r="I21" s="55">
        <v>0.08</v>
      </c>
      <c r="J21" s="53">
        <f t="shared" si="4"/>
        <v>3200000</v>
      </c>
      <c r="K21" s="53">
        <f t="shared" si="5"/>
        <v>43200000</v>
      </c>
      <c r="L21" s="57"/>
    </row>
    <row r="22" spans="1:13" ht="15.6" x14ac:dyDescent="0.3">
      <c r="A22" s="48" t="s">
        <v>48</v>
      </c>
      <c r="B22" s="67" t="s">
        <v>49</v>
      </c>
      <c r="C22" s="58">
        <v>4</v>
      </c>
      <c r="D22" s="48" t="s">
        <v>101</v>
      </c>
      <c r="E22" s="59" t="s">
        <v>109</v>
      </c>
      <c r="F22" s="30" t="s">
        <v>110</v>
      </c>
      <c r="G22" s="53">
        <v>10000000</v>
      </c>
      <c r="H22" s="54">
        <f t="shared" si="3"/>
        <v>40000000</v>
      </c>
      <c r="I22" s="55">
        <v>0.08</v>
      </c>
      <c r="J22" s="53">
        <f t="shared" si="4"/>
        <v>3200000</v>
      </c>
      <c r="K22" s="53">
        <f t="shared" si="5"/>
        <v>43200000</v>
      </c>
      <c r="L22" s="57"/>
    </row>
    <row r="23" spans="1:13" ht="15.6" x14ac:dyDescent="0.3">
      <c r="A23" s="48" t="s">
        <v>50</v>
      </c>
      <c r="B23" s="67" t="s">
        <v>24</v>
      </c>
      <c r="C23" s="58">
        <v>1</v>
      </c>
      <c r="D23" s="48" t="s">
        <v>99</v>
      </c>
      <c r="E23" s="59" t="s">
        <v>105</v>
      </c>
      <c r="F23" s="52" t="s">
        <v>106</v>
      </c>
      <c r="G23" s="53">
        <v>102000000</v>
      </c>
      <c r="H23" s="54">
        <f t="shared" si="3"/>
        <v>102000000</v>
      </c>
      <c r="I23" s="55">
        <v>0.08</v>
      </c>
      <c r="J23" s="53">
        <f t="shared" si="4"/>
        <v>8160000</v>
      </c>
      <c r="K23" s="53">
        <f t="shared" si="5"/>
        <v>110160000</v>
      </c>
      <c r="L23" s="57"/>
    </row>
    <row r="24" spans="1:13" ht="31.2" x14ac:dyDescent="0.3">
      <c r="A24" s="48" t="s">
        <v>51</v>
      </c>
      <c r="B24" s="67" t="s">
        <v>52</v>
      </c>
      <c r="C24" s="58">
        <v>6</v>
      </c>
      <c r="D24" s="48" t="s">
        <v>102</v>
      </c>
      <c r="E24" s="48" t="s">
        <v>111</v>
      </c>
      <c r="F24" s="52" t="s">
        <v>112</v>
      </c>
      <c r="G24" s="53">
        <v>250000</v>
      </c>
      <c r="H24" s="54">
        <f t="shared" si="3"/>
        <v>1500000</v>
      </c>
      <c r="I24" s="55">
        <v>0.08</v>
      </c>
      <c r="J24" s="53">
        <f t="shared" si="4"/>
        <v>120000</v>
      </c>
      <c r="K24" s="53">
        <f t="shared" si="5"/>
        <v>1620000</v>
      </c>
      <c r="L24" s="56"/>
    </row>
    <row r="25" spans="1:13" ht="46.8" x14ac:dyDescent="0.3">
      <c r="A25" s="48" t="s">
        <v>53</v>
      </c>
      <c r="B25" s="67" t="s">
        <v>54</v>
      </c>
      <c r="C25" s="58">
        <v>1</v>
      </c>
      <c r="D25" s="48" t="s">
        <v>1</v>
      </c>
      <c r="E25" s="48"/>
      <c r="F25" s="52"/>
      <c r="G25" s="53">
        <v>5000000</v>
      </c>
      <c r="H25" s="54">
        <f t="shared" si="3"/>
        <v>5000000</v>
      </c>
      <c r="I25" s="55">
        <v>0.08</v>
      </c>
      <c r="J25" s="53">
        <f t="shared" si="4"/>
        <v>400000</v>
      </c>
      <c r="K25" s="53">
        <f t="shared" si="5"/>
        <v>5400000</v>
      </c>
      <c r="L25" s="62"/>
    </row>
    <row r="26" spans="1:13" ht="62.4" x14ac:dyDescent="0.3">
      <c r="A26" s="48" t="s">
        <v>55</v>
      </c>
      <c r="B26" s="67" t="s">
        <v>43</v>
      </c>
      <c r="C26" s="58">
        <v>1</v>
      </c>
      <c r="D26" s="48" t="s">
        <v>98</v>
      </c>
      <c r="E26" s="59" t="s">
        <v>113</v>
      </c>
      <c r="F26" s="52" t="s">
        <v>112</v>
      </c>
      <c r="G26" s="53">
        <v>3500000</v>
      </c>
      <c r="H26" s="54">
        <f t="shared" si="3"/>
        <v>3500000</v>
      </c>
      <c r="I26" s="55">
        <v>0.08</v>
      </c>
      <c r="J26" s="53">
        <f t="shared" si="4"/>
        <v>280000</v>
      </c>
      <c r="K26" s="53">
        <f t="shared" si="5"/>
        <v>3780000</v>
      </c>
      <c r="L26" s="57"/>
    </row>
    <row r="27" spans="1:13" ht="15.6" x14ac:dyDescent="0.3">
      <c r="A27" s="48" t="s">
        <v>56</v>
      </c>
      <c r="B27" s="67" t="s">
        <v>47</v>
      </c>
      <c r="C27" s="58">
        <v>4</v>
      </c>
      <c r="D27" s="48" t="s">
        <v>101</v>
      </c>
      <c r="E27" s="59" t="s">
        <v>109</v>
      </c>
      <c r="F27" s="30" t="s">
        <v>110</v>
      </c>
      <c r="G27" s="53">
        <v>10000000</v>
      </c>
      <c r="H27" s="54">
        <f t="shared" si="3"/>
        <v>40000000</v>
      </c>
      <c r="I27" s="55">
        <v>0.08</v>
      </c>
      <c r="J27" s="53">
        <f t="shared" si="4"/>
        <v>3200000</v>
      </c>
      <c r="K27" s="53">
        <f t="shared" si="5"/>
        <v>43200000</v>
      </c>
      <c r="L27" s="57"/>
    </row>
    <row r="28" spans="1:13" ht="31.2" x14ac:dyDescent="0.3">
      <c r="A28" s="48" t="s">
        <v>57</v>
      </c>
      <c r="B28" s="67" t="s">
        <v>52</v>
      </c>
      <c r="C28" s="58">
        <v>2</v>
      </c>
      <c r="D28" s="48" t="s">
        <v>102</v>
      </c>
      <c r="E28" s="48" t="s">
        <v>111</v>
      </c>
      <c r="F28" s="52" t="s">
        <v>112</v>
      </c>
      <c r="G28" s="53">
        <v>250000</v>
      </c>
      <c r="H28" s="54">
        <f t="shared" si="3"/>
        <v>500000</v>
      </c>
      <c r="I28" s="55">
        <v>0.08</v>
      </c>
      <c r="J28" s="53">
        <f t="shared" si="4"/>
        <v>40000</v>
      </c>
      <c r="K28" s="53">
        <f t="shared" si="5"/>
        <v>540000</v>
      </c>
      <c r="L28" s="57"/>
    </row>
    <row r="29" spans="1:13" ht="46.8" x14ac:dyDescent="0.3">
      <c r="A29" s="48" t="s">
        <v>58</v>
      </c>
      <c r="B29" s="67" t="s">
        <v>59</v>
      </c>
      <c r="C29" s="71">
        <v>1</v>
      </c>
      <c r="D29" s="65" t="s">
        <v>1</v>
      </c>
      <c r="E29" s="59"/>
      <c r="F29" s="30" t="s">
        <v>114</v>
      </c>
      <c r="G29" s="53">
        <v>5000000</v>
      </c>
      <c r="H29" s="54">
        <f t="shared" si="3"/>
        <v>5000000</v>
      </c>
      <c r="I29" s="55">
        <v>0.08</v>
      </c>
      <c r="J29" s="53">
        <f t="shared" si="4"/>
        <v>400000</v>
      </c>
      <c r="K29" s="53">
        <f t="shared" si="5"/>
        <v>5400000</v>
      </c>
      <c r="L29" s="72"/>
    </row>
    <row r="30" spans="1:13" ht="62.4" x14ac:dyDescent="0.3">
      <c r="A30" s="48" t="s">
        <v>60</v>
      </c>
      <c r="B30" s="67" t="s">
        <v>43</v>
      </c>
      <c r="C30" s="58">
        <v>1</v>
      </c>
      <c r="D30" s="48" t="s">
        <v>98</v>
      </c>
      <c r="E30" s="59" t="s">
        <v>113</v>
      </c>
      <c r="F30" s="52" t="s">
        <v>112</v>
      </c>
      <c r="G30" s="53">
        <v>3500000</v>
      </c>
      <c r="H30" s="54">
        <f t="shared" si="3"/>
        <v>3500000</v>
      </c>
      <c r="I30" s="55">
        <v>0.08</v>
      </c>
      <c r="J30" s="53">
        <f t="shared" si="4"/>
        <v>280000</v>
      </c>
      <c r="K30" s="53">
        <f t="shared" si="5"/>
        <v>3780000</v>
      </c>
      <c r="L30" s="62"/>
    </row>
    <row r="31" spans="1:13" ht="31.2" x14ac:dyDescent="0.3">
      <c r="A31" s="48" t="s">
        <v>61</v>
      </c>
      <c r="B31" s="67" t="s">
        <v>62</v>
      </c>
      <c r="C31" s="58">
        <v>2</v>
      </c>
      <c r="D31" s="48" t="s">
        <v>99</v>
      </c>
      <c r="E31" s="59" t="s">
        <v>109</v>
      </c>
      <c r="F31" s="30" t="s">
        <v>110</v>
      </c>
      <c r="G31" s="53">
        <v>55000000</v>
      </c>
      <c r="H31" s="54">
        <f t="shared" si="3"/>
        <v>110000000</v>
      </c>
      <c r="I31" s="55">
        <v>0.08</v>
      </c>
      <c r="J31" s="53">
        <f t="shared" si="4"/>
        <v>8800000</v>
      </c>
      <c r="K31" s="53">
        <f t="shared" si="5"/>
        <v>118800000</v>
      </c>
      <c r="L31" s="62"/>
    </row>
    <row r="32" spans="1:13" ht="15.6" x14ac:dyDescent="0.3">
      <c r="A32" s="48" t="s">
        <v>63</v>
      </c>
      <c r="B32" s="67" t="s">
        <v>47</v>
      </c>
      <c r="C32" s="58">
        <v>4</v>
      </c>
      <c r="D32" s="48" t="s">
        <v>101</v>
      </c>
      <c r="E32" s="59" t="s">
        <v>109</v>
      </c>
      <c r="F32" s="30" t="s">
        <v>110</v>
      </c>
      <c r="G32" s="53">
        <v>10000000</v>
      </c>
      <c r="H32" s="54">
        <f t="shared" si="3"/>
        <v>40000000</v>
      </c>
      <c r="I32" s="55">
        <v>0.08</v>
      </c>
      <c r="J32" s="53">
        <f t="shared" si="4"/>
        <v>3200000</v>
      </c>
      <c r="K32" s="53">
        <f t="shared" si="5"/>
        <v>43200000</v>
      </c>
      <c r="L32" s="62"/>
    </row>
    <row r="33" spans="1:13" ht="31.2" x14ac:dyDescent="0.3">
      <c r="A33" s="48" t="s">
        <v>64</v>
      </c>
      <c r="B33" s="67" t="s">
        <v>52</v>
      </c>
      <c r="C33" s="58">
        <v>2</v>
      </c>
      <c r="D33" s="48" t="s">
        <v>102</v>
      </c>
      <c r="E33" s="48" t="s">
        <v>111</v>
      </c>
      <c r="F33" s="52" t="s">
        <v>112</v>
      </c>
      <c r="G33" s="53">
        <v>250000</v>
      </c>
      <c r="H33" s="54">
        <f t="shared" si="3"/>
        <v>500000</v>
      </c>
      <c r="I33" s="55">
        <v>0.08</v>
      </c>
      <c r="J33" s="53">
        <f t="shared" si="4"/>
        <v>40000</v>
      </c>
      <c r="K33" s="53">
        <f t="shared" si="5"/>
        <v>540000</v>
      </c>
      <c r="L33" s="62"/>
    </row>
    <row r="34" spans="1:13" s="5" customFormat="1" ht="46.8" x14ac:dyDescent="0.3">
      <c r="A34" s="65" t="s">
        <v>65</v>
      </c>
      <c r="B34" s="66" t="s">
        <v>66</v>
      </c>
      <c r="C34" s="58">
        <v>1</v>
      </c>
      <c r="D34" s="48" t="s">
        <v>1</v>
      </c>
      <c r="E34" s="59"/>
      <c r="F34" s="30" t="s">
        <v>114</v>
      </c>
      <c r="G34" s="53">
        <v>5000000</v>
      </c>
      <c r="H34" s="54">
        <f t="shared" si="3"/>
        <v>5000000</v>
      </c>
      <c r="I34" s="55">
        <v>0.08</v>
      </c>
      <c r="J34" s="53">
        <f t="shared" si="4"/>
        <v>400000</v>
      </c>
      <c r="K34" s="53">
        <f t="shared" si="5"/>
        <v>5400000</v>
      </c>
      <c r="L34" s="62"/>
      <c r="M34" s="95"/>
    </row>
    <row r="35" spans="1:13" s="5" customFormat="1" ht="62.4" x14ac:dyDescent="0.3">
      <c r="A35" s="73" t="s">
        <v>23</v>
      </c>
      <c r="B35" s="74" t="s">
        <v>67</v>
      </c>
      <c r="C35" s="69" t="s">
        <v>0</v>
      </c>
      <c r="D35" s="39" t="s">
        <v>0</v>
      </c>
      <c r="E35" s="43"/>
      <c r="F35" s="43"/>
      <c r="G35" s="44"/>
      <c r="H35" s="45"/>
      <c r="I35" s="46"/>
      <c r="J35" s="44"/>
      <c r="K35" s="44"/>
      <c r="L35" s="75"/>
      <c r="M35" s="95"/>
    </row>
    <row r="36" spans="1:13" ht="62.4" x14ac:dyDescent="0.3">
      <c r="A36" s="65" t="s">
        <v>68</v>
      </c>
      <c r="B36" s="66" t="s">
        <v>43</v>
      </c>
      <c r="C36" s="58">
        <v>2</v>
      </c>
      <c r="D36" s="48" t="s">
        <v>98</v>
      </c>
      <c r="E36" s="59" t="s">
        <v>113</v>
      </c>
      <c r="F36" s="52" t="s">
        <v>112</v>
      </c>
      <c r="G36" s="53">
        <v>3500000</v>
      </c>
      <c r="H36" s="54">
        <f t="shared" ref="H36:H39" si="6">G36*C36</f>
        <v>7000000</v>
      </c>
      <c r="I36" s="55">
        <v>0.08</v>
      </c>
      <c r="J36" s="53">
        <f t="shared" ref="J36:J39" si="7">I36*H36</f>
        <v>560000</v>
      </c>
      <c r="K36" s="53">
        <f t="shared" ref="K36:K39" si="8">+H36+J36</f>
        <v>7560000</v>
      </c>
      <c r="L36" s="57"/>
    </row>
    <row r="37" spans="1:13" ht="31.2" x14ac:dyDescent="0.3">
      <c r="A37" s="65" t="s">
        <v>69</v>
      </c>
      <c r="B37" s="66" t="s">
        <v>62</v>
      </c>
      <c r="C37" s="58">
        <v>2</v>
      </c>
      <c r="D37" s="48" t="s">
        <v>99</v>
      </c>
      <c r="E37" s="59" t="s">
        <v>109</v>
      </c>
      <c r="F37" s="30" t="s">
        <v>110</v>
      </c>
      <c r="G37" s="53">
        <v>55000000</v>
      </c>
      <c r="H37" s="54">
        <f t="shared" si="6"/>
        <v>110000000</v>
      </c>
      <c r="I37" s="55">
        <v>0.08</v>
      </c>
      <c r="J37" s="53">
        <f t="shared" si="7"/>
        <v>8800000</v>
      </c>
      <c r="K37" s="53">
        <f t="shared" si="8"/>
        <v>118800000</v>
      </c>
      <c r="L37" s="57"/>
    </row>
    <row r="38" spans="1:13" ht="31.2" x14ac:dyDescent="0.3">
      <c r="A38" s="65" t="s">
        <v>70</v>
      </c>
      <c r="B38" s="66" t="s">
        <v>52</v>
      </c>
      <c r="C38" s="58">
        <v>4</v>
      </c>
      <c r="D38" s="48" t="s">
        <v>102</v>
      </c>
      <c r="E38" s="48" t="s">
        <v>111</v>
      </c>
      <c r="F38" s="52" t="s">
        <v>112</v>
      </c>
      <c r="G38" s="53">
        <v>250000</v>
      </c>
      <c r="H38" s="54">
        <f t="shared" si="6"/>
        <v>1000000</v>
      </c>
      <c r="I38" s="55">
        <v>0.08</v>
      </c>
      <c r="J38" s="53">
        <f t="shared" si="7"/>
        <v>80000</v>
      </c>
      <c r="K38" s="53">
        <f t="shared" si="8"/>
        <v>1080000</v>
      </c>
      <c r="L38" s="57"/>
    </row>
    <row r="39" spans="1:13" ht="46.8" x14ac:dyDescent="0.3">
      <c r="A39" s="65" t="s">
        <v>71</v>
      </c>
      <c r="B39" s="66" t="s">
        <v>72</v>
      </c>
      <c r="C39" s="58">
        <v>1</v>
      </c>
      <c r="D39" s="48" t="s">
        <v>1</v>
      </c>
      <c r="E39" s="59"/>
      <c r="F39" s="30" t="s">
        <v>114</v>
      </c>
      <c r="G39" s="53">
        <v>5000000</v>
      </c>
      <c r="H39" s="54">
        <f t="shared" si="6"/>
        <v>5000000</v>
      </c>
      <c r="I39" s="55">
        <v>0.08</v>
      </c>
      <c r="J39" s="53">
        <f t="shared" si="7"/>
        <v>400000</v>
      </c>
      <c r="K39" s="53">
        <f t="shared" si="8"/>
        <v>5400000</v>
      </c>
      <c r="L39" s="57"/>
    </row>
    <row r="40" spans="1:13" s="5" customFormat="1" ht="62.4" x14ac:dyDescent="0.3">
      <c r="A40" s="73">
        <v>27</v>
      </c>
      <c r="B40" s="74" t="s">
        <v>73</v>
      </c>
      <c r="C40" s="69" t="s">
        <v>0</v>
      </c>
      <c r="D40" s="39" t="s">
        <v>0</v>
      </c>
      <c r="E40" s="76"/>
      <c r="F40" s="77"/>
      <c r="G40" s="44"/>
      <c r="H40" s="45"/>
      <c r="I40" s="46"/>
      <c r="J40" s="44"/>
      <c r="K40" s="44"/>
      <c r="L40" s="78"/>
      <c r="M40" s="95"/>
    </row>
    <row r="41" spans="1:13" s="5" customFormat="1" ht="46.8" x14ac:dyDescent="0.3">
      <c r="A41" s="73" t="s">
        <v>74</v>
      </c>
      <c r="B41" s="74" t="s">
        <v>75</v>
      </c>
      <c r="C41" s="69" t="s">
        <v>0</v>
      </c>
      <c r="D41" s="39" t="s">
        <v>0</v>
      </c>
      <c r="E41" s="76"/>
      <c r="F41" s="77"/>
      <c r="G41" s="44"/>
      <c r="H41" s="45"/>
      <c r="I41" s="46"/>
      <c r="J41" s="44"/>
      <c r="K41" s="44"/>
      <c r="L41" s="78"/>
      <c r="M41" s="95"/>
    </row>
    <row r="42" spans="1:13" ht="15.6" x14ac:dyDescent="0.3">
      <c r="A42" s="65" t="s">
        <v>76</v>
      </c>
      <c r="B42" s="66" t="s">
        <v>77</v>
      </c>
      <c r="C42" s="58">
        <v>1</v>
      </c>
      <c r="D42" s="48" t="s">
        <v>99</v>
      </c>
      <c r="E42" s="59"/>
      <c r="F42" s="70"/>
      <c r="G42" s="53">
        <v>1000000</v>
      </c>
      <c r="H42" s="54">
        <f t="shared" ref="H42:H49" si="9">G42*C42</f>
        <v>1000000</v>
      </c>
      <c r="I42" s="55">
        <v>0.08</v>
      </c>
      <c r="J42" s="53">
        <f t="shared" ref="J42:J49" si="10">I42*H42</f>
        <v>80000</v>
      </c>
      <c r="K42" s="53">
        <f t="shared" ref="K42:K49" si="11">+H42+J42</f>
        <v>1080000</v>
      </c>
      <c r="L42" s="57"/>
    </row>
    <row r="43" spans="1:13" ht="15.6" x14ac:dyDescent="0.3">
      <c r="A43" s="65" t="s">
        <v>78</v>
      </c>
      <c r="B43" s="66" t="s">
        <v>79</v>
      </c>
      <c r="C43" s="58">
        <v>1</v>
      </c>
      <c r="D43" s="48" t="s">
        <v>99</v>
      </c>
      <c r="E43" s="59"/>
      <c r="F43" s="70"/>
      <c r="G43" s="53">
        <v>500000</v>
      </c>
      <c r="H43" s="54">
        <f t="shared" si="9"/>
        <v>500000</v>
      </c>
      <c r="I43" s="55">
        <v>0.08</v>
      </c>
      <c r="J43" s="53">
        <f t="shared" si="10"/>
        <v>40000</v>
      </c>
      <c r="K43" s="53">
        <f t="shared" si="11"/>
        <v>540000</v>
      </c>
      <c r="L43" s="57"/>
    </row>
    <row r="44" spans="1:13" ht="15.6" x14ac:dyDescent="0.3">
      <c r="A44" s="65" t="s">
        <v>80</v>
      </c>
      <c r="B44" s="66" t="s">
        <v>81</v>
      </c>
      <c r="C44" s="58">
        <v>3</v>
      </c>
      <c r="D44" s="48" t="s">
        <v>21</v>
      </c>
      <c r="E44" s="59"/>
      <c r="F44" s="70"/>
      <c r="G44" s="53">
        <v>300000</v>
      </c>
      <c r="H44" s="54">
        <f t="shared" si="9"/>
        <v>900000</v>
      </c>
      <c r="I44" s="55">
        <v>0.08</v>
      </c>
      <c r="J44" s="53">
        <f t="shared" si="10"/>
        <v>72000</v>
      </c>
      <c r="K44" s="53">
        <f t="shared" si="11"/>
        <v>972000</v>
      </c>
      <c r="L44" s="57"/>
    </row>
    <row r="45" spans="1:13" ht="15.6" x14ac:dyDescent="0.3">
      <c r="A45" s="65" t="s">
        <v>82</v>
      </c>
      <c r="B45" s="66" t="s">
        <v>83</v>
      </c>
      <c r="C45" s="58">
        <v>4</v>
      </c>
      <c r="D45" s="48" t="s">
        <v>99</v>
      </c>
      <c r="E45" s="59"/>
      <c r="F45" s="70"/>
      <c r="G45" s="53">
        <v>500000</v>
      </c>
      <c r="H45" s="54">
        <f t="shared" si="9"/>
        <v>2000000</v>
      </c>
      <c r="I45" s="55">
        <v>0.08</v>
      </c>
      <c r="J45" s="53">
        <f t="shared" si="10"/>
        <v>160000</v>
      </c>
      <c r="K45" s="53">
        <f t="shared" si="11"/>
        <v>2160000</v>
      </c>
      <c r="L45" s="57"/>
    </row>
    <row r="46" spans="1:13" ht="15.6" x14ac:dyDescent="0.3">
      <c r="A46" s="65" t="s">
        <v>84</v>
      </c>
      <c r="B46" s="66" t="s">
        <v>85</v>
      </c>
      <c r="C46" s="58">
        <v>1</v>
      </c>
      <c r="D46" s="48" t="s">
        <v>99</v>
      </c>
      <c r="E46" s="59"/>
      <c r="F46" s="70"/>
      <c r="G46" s="53">
        <v>1000000</v>
      </c>
      <c r="H46" s="54">
        <f t="shared" si="9"/>
        <v>1000000</v>
      </c>
      <c r="I46" s="55">
        <v>0.08</v>
      </c>
      <c r="J46" s="53">
        <f t="shared" si="10"/>
        <v>80000</v>
      </c>
      <c r="K46" s="53">
        <f t="shared" si="11"/>
        <v>1080000</v>
      </c>
      <c r="L46" s="57"/>
    </row>
    <row r="47" spans="1:13" ht="15.6" x14ac:dyDescent="0.3">
      <c r="A47" s="65" t="s">
        <v>86</v>
      </c>
      <c r="B47" s="66" t="s">
        <v>87</v>
      </c>
      <c r="C47" s="58">
        <v>1</v>
      </c>
      <c r="D47" s="48" t="s">
        <v>99</v>
      </c>
      <c r="E47" s="59"/>
      <c r="F47" s="70"/>
      <c r="G47" s="53">
        <v>7000000</v>
      </c>
      <c r="H47" s="54">
        <f t="shared" si="9"/>
        <v>7000000</v>
      </c>
      <c r="I47" s="55">
        <v>0.08</v>
      </c>
      <c r="J47" s="53">
        <f t="shared" si="10"/>
        <v>560000</v>
      </c>
      <c r="K47" s="53">
        <f t="shared" si="11"/>
        <v>7560000</v>
      </c>
      <c r="L47" s="57"/>
    </row>
    <row r="48" spans="1:13" ht="46.8" x14ac:dyDescent="0.3">
      <c r="A48" s="65" t="s">
        <v>88</v>
      </c>
      <c r="B48" s="66" t="s">
        <v>89</v>
      </c>
      <c r="C48" s="58">
        <v>1</v>
      </c>
      <c r="D48" s="48" t="s">
        <v>99</v>
      </c>
      <c r="E48" s="59"/>
      <c r="F48" s="70"/>
      <c r="G48" s="53">
        <v>500000</v>
      </c>
      <c r="H48" s="54">
        <f t="shared" si="9"/>
        <v>500000</v>
      </c>
      <c r="I48" s="55">
        <v>0.08</v>
      </c>
      <c r="J48" s="53">
        <f t="shared" si="10"/>
        <v>40000</v>
      </c>
      <c r="K48" s="53">
        <f t="shared" si="11"/>
        <v>540000</v>
      </c>
      <c r="L48" s="57"/>
    </row>
    <row r="49" spans="1:13" ht="15.6" x14ac:dyDescent="0.3">
      <c r="A49" s="65" t="s">
        <v>90</v>
      </c>
      <c r="B49" s="66" t="s">
        <v>91</v>
      </c>
      <c r="C49" s="58">
        <v>1</v>
      </c>
      <c r="D49" s="48" t="s">
        <v>1</v>
      </c>
      <c r="E49" s="59"/>
      <c r="F49" s="70"/>
      <c r="G49" s="53">
        <v>500000</v>
      </c>
      <c r="H49" s="54">
        <f t="shared" si="9"/>
        <v>500000</v>
      </c>
      <c r="I49" s="55">
        <v>0.08</v>
      </c>
      <c r="J49" s="53">
        <f t="shared" si="10"/>
        <v>40000</v>
      </c>
      <c r="K49" s="53">
        <f t="shared" si="11"/>
        <v>540000</v>
      </c>
      <c r="L49" s="57"/>
    </row>
    <row r="50" spans="1:13" s="5" customFormat="1" ht="46.8" x14ac:dyDescent="0.3">
      <c r="A50" s="73" t="s">
        <v>92</v>
      </c>
      <c r="B50" s="74" t="s">
        <v>93</v>
      </c>
      <c r="C50" s="69" t="s">
        <v>0</v>
      </c>
      <c r="D50" s="39" t="s">
        <v>0</v>
      </c>
      <c r="E50" s="76"/>
      <c r="F50" s="77"/>
      <c r="G50" s="44"/>
      <c r="H50" s="45"/>
      <c r="I50" s="46"/>
      <c r="J50" s="44"/>
      <c r="K50" s="44"/>
      <c r="L50" s="78"/>
      <c r="M50" s="95"/>
    </row>
    <row r="51" spans="1:13" ht="15.6" x14ac:dyDescent="0.3">
      <c r="A51" s="65" t="s">
        <v>94</v>
      </c>
      <c r="B51" s="66" t="s">
        <v>95</v>
      </c>
      <c r="C51" s="58">
        <v>1</v>
      </c>
      <c r="D51" s="48" t="s">
        <v>99</v>
      </c>
      <c r="E51" s="59" t="s">
        <v>116</v>
      </c>
      <c r="F51" s="70" t="s">
        <v>104</v>
      </c>
      <c r="G51" s="53">
        <v>128000000</v>
      </c>
      <c r="H51" s="54">
        <f t="shared" ref="H51:H52" si="12">G51*C51</f>
        <v>128000000</v>
      </c>
      <c r="I51" s="55">
        <v>0.08</v>
      </c>
      <c r="J51" s="53">
        <f t="shared" ref="J51:J52" si="13">I51*H51</f>
        <v>10240000</v>
      </c>
      <c r="K51" s="53">
        <f t="shared" ref="K51:K52" si="14">+H51+J51</f>
        <v>138240000</v>
      </c>
      <c r="L51" s="57"/>
    </row>
    <row r="52" spans="1:13" ht="46.8" x14ac:dyDescent="0.3">
      <c r="A52" s="65" t="s">
        <v>96</v>
      </c>
      <c r="B52" s="66" t="s">
        <v>97</v>
      </c>
      <c r="C52" s="58">
        <v>1</v>
      </c>
      <c r="D52" s="48" t="s">
        <v>1</v>
      </c>
      <c r="E52" s="59"/>
      <c r="F52" s="30" t="s">
        <v>114</v>
      </c>
      <c r="G52" s="53">
        <v>2000000</v>
      </c>
      <c r="H52" s="54">
        <f t="shared" si="12"/>
        <v>2000000</v>
      </c>
      <c r="I52" s="55">
        <v>0.08</v>
      </c>
      <c r="J52" s="53">
        <f t="shared" si="13"/>
        <v>160000</v>
      </c>
      <c r="K52" s="53">
        <f t="shared" si="14"/>
        <v>2160000</v>
      </c>
      <c r="L52" s="57"/>
    </row>
    <row r="53" spans="1:13" ht="10.5" customHeight="1" x14ac:dyDescent="0.3">
      <c r="A53" s="79"/>
      <c r="B53" s="80"/>
      <c r="C53" s="79"/>
      <c r="D53" s="79"/>
      <c r="E53" s="81"/>
      <c r="F53" s="82"/>
      <c r="G53" s="83"/>
      <c r="H53" s="84"/>
      <c r="I53" s="85"/>
      <c r="J53" s="83"/>
      <c r="K53" s="83"/>
      <c r="L53" s="86"/>
    </row>
    <row r="54" spans="1:13" ht="24.75" customHeight="1" x14ac:dyDescent="0.3">
      <c r="A54" s="91" t="s">
        <v>17</v>
      </c>
      <c r="B54" s="91"/>
      <c r="C54" s="91"/>
      <c r="D54" s="91"/>
      <c r="E54" s="91"/>
      <c r="F54" s="91"/>
      <c r="G54" s="91"/>
      <c r="H54" s="24"/>
      <c r="I54" s="25"/>
      <c r="J54" s="26"/>
      <c r="K54" s="24">
        <f>SUM(H8:H53)</f>
        <v>689950000</v>
      </c>
      <c r="L54" s="27"/>
      <c r="M54" s="94">
        <f>K54*0.15</f>
        <v>103492500</v>
      </c>
    </row>
    <row r="55" spans="1:13" ht="24.75" customHeight="1" x14ac:dyDescent="0.3">
      <c r="A55" s="91" t="s">
        <v>12</v>
      </c>
      <c r="B55" s="91"/>
      <c r="C55" s="91"/>
      <c r="D55" s="91"/>
      <c r="E55" s="91"/>
      <c r="F55" s="91"/>
      <c r="G55" s="91"/>
      <c r="H55" s="24"/>
      <c r="I55" s="25"/>
      <c r="J55" s="26"/>
      <c r="K55" s="24">
        <f>SUM(J8:J53)</f>
        <v>55196000</v>
      </c>
      <c r="L55" s="27"/>
    </row>
    <row r="56" spans="1:13" ht="24.75" customHeight="1" x14ac:dyDescent="0.3">
      <c r="A56" s="91" t="s">
        <v>18</v>
      </c>
      <c r="B56" s="91"/>
      <c r="C56" s="91"/>
      <c r="D56" s="91"/>
      <c r="E56" s="91"/>
      <c r="F56" s="91"/>
      <c r="G56" s="91"/>
      <c r="H56" s="28"/>
      <c r="I56" s="28"/>
      <c r="J56" s="29"/>
      <c r="K56" s="24">
        <f>K54+K55</f>
        <v>745146000</v>
      </c>
      <c r="L56" s="27"/>
    </row>
    <row r="57" spans="1:13" ht="21.75" customHeight="1" x14ac:dyDescent="0.3">
      <c r="A57" s="92" t="s">
        <v>103</v>
      </c>
      <c r="B57" s="92"/>
      <c r="C57" s="92"/>
      <c r="D57" s="92"/>
      <c r="E57" s="92"/>
      <c r="F57" s="92"/>
      <c r="G57" s="92"/>
      <c r="H57" s="92"/>
      <c r="I57" s="92"/>
      <c r="J57" s="92"/>
      <c r="K57" s="92"/>
      <c r="L57" s="92"/>
    </row>
    <row r="58" spans="1:13" x14ac:dyDescent="0.3">
      <c r="E58" s="8"/>
      <c r="F58" s="8"/>
      <c r="G58" s="16"/>
      <c r="H58" s="7"/>
      <c r="I58" s="7"/>
      <c r="J58" s="7"/>
      <c r="K58" s="7"/>
    </row>
    <row r="59" spans="1:13" x14ac:dyDescent="0.3">
      <c r="G59" s="17"/>
      <c r="H59" s="4"/>
      <c r="I59" s="4"/>
      <c r="J59" s="11"/>
      <c r="K59" s="12"/>
      <c r="L59" s="14"/>
    </row>
    <row r="60" spans="1:13" x14ac:dyDescent="0.3">
      <c r="G60" s="17"/>
      <c r="J60" s="11"/>
      <c r="K60" s="12"/>
      <c r="L60" s="14"/>
    </row>
    <row r="61" spans="1:13" x14ac:dyDescent="0.3">
      <c r="E61" s="9"/>
      <c r="F61" s="9"/>
      <c r="G61" s="17"/>
      <c r="H61" s="4"/>
      <c r="I61" s="4"/>
      <c r="J61" s="11"/>
      <c r="K61" s="12"/>
      <c r="L61" s="14"/>
    </row>
    <row r="62" spans="1:13" x14ac:dyDescent="0.3">
      <c r="G62" s="18"/>
      <c r="J62" s="11"/>
      <c r="K62" s="12"/>
      <c r="L62" s="14"/>
    </row>
    <row r="63" spans="1:13" x14ac:dyDescent="0.3">
      <c r="E63" s="10"/>
      <c r="F63" s="10"/>
      <c r="G63" s="18"/>
      <c r="H63" s="6"/>
      <c r="I63" s="6"/>
      <c r="J63" s="11"/>
      <c r="K63" s="12"/>
      <c r="L63" s="14"/>
    </row>
    <row r="64" spans="1:13" x14ac:dyDescent="0.3">
      <c r="K64" s="13"/>
    </row>
  </sheetData>
  <autoFilter ref="A7:L7" xr:uid="{00000000-0001-0000-0000-000000000000}"/>
  <mergeCells count="19">
    <mergeCell ref="A54:G54"/>
    <mergeCell ref="A56:G56"/>
    <mergeCell ref="A55:G55"/>
    <mergeCell ref="A57:L57"/>
    <mergeCell ref="K6:K7"/>
    <mergeCell ref="L6:L7"/>
    <mergeCell ref="A1:L1"/>
    <mergeCell ref="A2:L2"/>
    <mergeCell ref="A3:L3"/>
    <mergeCell ref="A4:L4"/>
    <mergeCell ref="A6:A7"/>
    <mergeCell ref="B6:B7"/>
    <mergeCell ref="C6:C7"/>
    <mergeCell ref="D6:D7"/>
    <mergeCell ref="E6:E7"/>
    <mergeCell ref="F6:F7"/>
    <mergeCell ref="G6:G7"/>
    <mergeCell ref="H6:H7"/>
    <mergeCell ref="I6:J6"/>
  </mergeCells>
  <phoneticPr fontId="18" type="noConversion"/>
  <conditionalFormatting sqref="H54:H55">
    <cfRule type="expression" dxfId="1" priority="2">
      <formula>$H$66&lt;&gt;$L$66</formula>
    </cfRule>
  </conditionalFormatting>
  <conditionalFormatting sqref="K54:K56">
    <cfRule type="expression" dxfId="0" priority="1">
      <formula>$H$66&lt;&gt;$L$66</formula>
    </cfRule>
  </conditionalFormatting>
  <printOptions horizontalCentered="1"/>
  <pageMargins left="0.18" right="0.17" top="0.34" bottom="0.32" header="0.11" footer="0.14000000000000001"/>
  <pageSetup paperSize="9" scale="63"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Scada_TTLL</vt:lpstr>
      <vt:lpstr>Scada_TTLL!Print_Area</vt:lpstr>
      <vt:lpstr>Scada_TTLL!Print_Titles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2026-04-20T04:27:09Z</dcterms:modified>
  <cp:category/>
</cp:coreProperties>
</file>