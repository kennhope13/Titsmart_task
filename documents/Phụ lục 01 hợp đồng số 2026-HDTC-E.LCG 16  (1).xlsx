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cường\Trạm điện\220kV Năm Căn\hợp đồng\"/>
    </mc:Choice>
  </mc:AlternateContent>
  <xr:revisionPtr revIDLastSave="0" documentId="13_ncr:1_{7B0ABB54-511F-4D1B-A488-1D9F908757B0}" xr6:coauthVersionLast="47" xr6:coauthVersionMax="47" xr10:uidLastSave="{00000000-0000-0000-0000-000000000000}"/>
  <bookViews>
    <workbookView xWindow="-108" yWindow="-108" windowWidth="23256" windowHeight="12456" xr2:uid="{00000000-000D-0000-FFFF-FFFF00000000}"/>
  </bookViews>
  <sheets>
    <sheet name="GỬI TT" sheetId="1" r:id="rId1"/>
  </sheets>
  <definedNames>
    <definedName name="_xlnm._FilterDatabase" localSheetId="0" hidden="1">'GỬI TT'!$A$5:$H$163</definedName>
    <definedName name="_xlnm.Print_Area" localSheetId="0">'GỬI TT'!$A$1:$E$154</definedName>
    <definedName name="_xlnm.Print_Titles" localSheetId="0">'GỬI TT'!$5:$7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4" i="1" l="1"/>
  <c r="G126" i="1"/>
  <c r="C126" i="1"/>
  <c r="C125" i="1"/>
  <c r="G120" i="1"/>
  <c r="G121" i="1"/>
  <c r="G122" i="1"/>
  <c r="C50" i="1"/>
  <c r="C146" i="1"/>
  <c r="C70" i="1"/>
  <c r="C106" i="1" s="1"/>
  <c r="C127" i="1" s="1"/>
  <c r="C72" i="1"/>
  <c r="C128" i="1"/>
  <c r="C107" i="1" s="1"/>
  <c r="C51" i="1" s="1"/>
  <c r="G12" i="1"/>
  <c r="G13" i="1"/>
  <c r="G14" i="1"/>
  <c r="G15" i="1"/>
  <c r="G16" i="1"/>
  <c r="G17" i="1"/>
  <c r="G18" i="1"/>
  <c r="G20" i="1"/>
  <c r="G32" i="1"/>
  <c r="G33" i="1"/>
  <c r="G34" i="1"/>
  <c r="G36" i="1"/>
  <c r="G37" i="1"/>
  <c r="G38" i="1"/>
  <c r="G39" i="1"/>
  <c r="G40" i="1"/>
  <c r="G43" i="1"/>
  <c r="G62" i="1"/>
  <c r="G100" i="1"/>
  <c r="G101" i="1"/>
  <c r="G102" i="1"/>
  <c r="G108" i="1"/>
  <c r="G109" i="1"/>
  <c r="G110" i="1"/>
  <c r="G111" i="1"/>
  <c r="G113" i="1"/>
  <c r="G115" i="1"/>
  <c r="G119" i="1"/>
  <c r="G124" i="1"/>
  <c r="G63" i="1"/>
  <c r="G35" i="1"/>
  <c r="E19" i="1"/>
  <c r="G19" i="1" s="1"/>
  <c r="G151" i="1"/>
  <c r="G150" i="1"/>
  <c r="G149" i="1"/>
  <c r="G148" i="1"/>
  <c r="G147" i="1"/>
  <c r="G145" i="1"/>
  <c r="G142" i="1"/>
  <c r="G141" i="1"/>
  <c r="G140" i="1"/>
  <c r="G139" i="1"/>
  <c r="G138" i="1"/>
  <c r="G137" i="1"/>
  <c r="G136" i="1"/>
  <c r="G135" i="1"/>
  <c r="G133" i="1"/>
  <c r="G132" i="1"/>
  <c r="G129" i="1"/>
  <c r="G123" i="1"/>
  <c r="G117" i="1"/>
  <c r="G116" i="1"/>
  <c r="G114" i="1"/>
  <c r="G112" i="1"/>
  <c r="G105" i="1"/>
  <c r="G97" i="1"/>
  <c r="G96" i="1"/>
  <c r="G95" i="1"/>
  <c r="G94" i="1"/>
  <c r="G93" i="1"/>
  <c r="G92" i="1"/>
  <c r="G91" i="1"/>
  <c r="G89" i="1"/>
  <c r="G88" i="1"/>
  <c r="G87" i="1"/>
  <c r="G86" i="1"/>
  <c r="G85" i="1"/>
  <c r="G84" i="1"/>
  <c r="G83" i="1"/>
  <c r="G82" i="1"/>
  <c r="G81" i="1"/>
  <c r="G80" i="1"/>
  <c r="G79" i="1"/>
  <c r="G78" i="1"/>
  <c r="G77" i="1"/>
  <c r="G76" i="1"/>
  <c r="G73" i="1"/>
  <c r="G65" i="1"/>
  <c r="G59" i="1"/>
  <c r="G58" i="1"/>
  <c r="G57" i="1"/>
  <c r="G56" i="1"/>
  <c r="G55" i="1"/>
  <c r="G52" i="1"/>
  <c r="G48" i="1"/>
  <c r="G45" i="1"/>
  <c r="G44" i="1"/>
  <c r="G27" i="1"/>
  <c r="G26" i="1"/>
  <c r="G25" i="1"/>
  <c r="G24" i="1"/>
  <c r="G23" i="1"/>
  <c r="G22" i="1"/>
  <c r="G21" i="1"/>
  <c r="G53" i="1" l="1"/>
  <c r="G41" i="1"/>
  <c r="G11" i="1"/>
  <c r="G64" i="1"/>
  <c r="G103" i="1"/>
  <c r="G134" i="1"/>
  <c r="G125" i="1"/>
  <c r="G54" i="1"/>
  <c r="G42" i="1"/>
  <c r="G49" i="1"/>
  <c r="G71" i="1"/>
  <c r="G107" i="1"/>
  <c r="G128" i="1"/>
  <c r="G146" i="1"/>
  <c r="G50" i="1" l="1"/>
  <c r="G104" i="1"/>
  <c r="G72" i="1"/>
  <c r="G70" i="1"/>
  <c r="G51" i="1" l="1"/>
  <c r="G106" i="1"/>
  <c r="G156" i="1" l="1"/>
  <c r="G163" i="1" s="1"/>
  <c r="G127" i="1"/>
  <c r="G164" i="1" l="1"/>
  <c r="G165" i="1" s="1"/>
</calcChain>
</file>

<file path=xl/sharedStrings.xml><?xml version="1.0" encoding="utf-8"?>
<sst xmlns="http://schemas.openxmlformats.org/spreadsheetml/2006/main" count="332" uniqueCount="187">
  <si>
    <t>STT</t>
  </si>
  <si>
    <t>Yêu cầu kỹ thuật/Chỉ dẫn kỹ thuật chính</t>
  </si>
  <si>
    <t>Lô</t>
  </si>
  <si>
    <t>tấn</t>
  </si>
  <si>
    <t>cái</t>
  </si>
  <si>
    <t>m2</t>
  </si>
  <si>
    <t>100m</t>
  </si>
  <si>
    <t>Cái</t>
  </si>
  <si>
    <t>bộ</t>
  </si>
  <si>
    <t>m</t>
  </si>
  <si>
    <t>Tấn</t>
  </si>
  <si>
    <t>Tủ điện (Trọn bộ cùng hàng kẹp, kẹp cáp xuyên đáy tủ, bộ định vị thiết bị,… để lắp đặt hoàn chỉnh tủ)</t>
  </si>
  <si>
    <t>Hộp công tắc 2 nút 220V-10A trọn bộ đế âm, mặt nạ</t>
  </si>
  <si>
    <t>Hộp ổ cắm nhựa 600VAC, 10A, trọn bộ với cầu chì bảo vệ</t>
  </si>
  <si>
    <t>hộp</t>
  </si>
  <si>
    <t>BI</t>
  </si>
  <si>
    <t>HỆ THỐNG PHÒNG CHÁY CHỮA CHÁY : (Tất cả ống cấp nước phòng cháy chữa cháy và phụ kiện được mạ kẽm 2 mặt và được sơn dầu màu đỏ, sơn 1 nước lót và 2 nước phủ)</t>
  </si>
  <si>
    <t>BJ</t>
  </si>
  <si>
    <t>1. Mặt bằng bố trí chung :</t>
  </si>
  <si>
    <t>Cung cấp và lắp đặt trụ nước chữa cháy (bao gồm hộp và vòi chữa cháy)</t>
  </si>
  <si>
    <t>Cung cấp và lắp đặt van chặn DN150mm</t>
  </si>
  <si>
    <t>Cung cấp và lắp đặt van chặn DN100mm</t>
  </si>
  <si>
    <t>Cung cấp và lắp đặt đặt co giảm STK D150/100</t>
  </si>
  <si>
    <t>Cung cấp và lắp đặt bích thép DN 150</t>
  </si>
  <si>
    <t>bích</t>
  </si>
  <si>
    <t>Cung cấp và lắp đặt bích thép DN100</t>
  </si>
  <si>
    <t>Cung cấp và lắp đặt Amiăng cho tấm dày 3mm</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</si>
  <si>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</si>
  <si>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Lắp đặt boulon mạ kẽm thành phẩm</t>
  </si>
  <si>
    <t>Cung cấp và lắp đặt dây dẫn, tín hiệu 2 ruột 2x1,5mm2 có giáp bảo vệ chống cháy chống nhiễu</t>
  </si>
  <si>
    <t>Cung cấp và lắp đặt ống STK DN 27mm</t>
  </si>
  <si>
    <t>Cung cấp và lắp đặt măng song STK DN27</t>
  </si>
  <si>
    <t>Cung cấp và lắp đặt hộp đựng Module</t>
  </si>
  <si>
    <t>Cung cấp và lắp đặt hộp phân dây ngoài trời</t>
  </si>
  <si>
    <t>Cung cấp và lắp đặt dây tiếp địa, đồng mềm 50mm2</t>
  </si>
  <si>
    <t>Cung cấp và lắp đặt đầu cosse dây tiếp địa 50mm2</t>
  </si>
  <si>
    <t>Cung cấp và lắp đặt Mối hàn hóa nhiệt (Cadweld)</t>
  </si>
  <si>
    <t>Mối</t>
  </si>
  <si>
    <t>Cung cấp và lắp đặt thùng cát 0,5m3 ( gồm có bi cát + cát + xẻng )</t>
  </si>
  <si>
    <t>Thùng</t>
  </si>
  <si>
    <t>BK</t>
  </si>
  <si>
    <t>2. Hệ thống báo cháy và phun sương :(1 dàn phun sương)</t>
  </si>
  <si>
    <t>BL</t>
  </si>
  <si>
    <t>2a. Thiết bị chữa cháy :</t>
  </si>
  <si>
    <t>Cung cấp và lắp đặt van chặn DN 50</t>
  </si>
  <si>
    <t>Cung cấp và lắp đặt ống STK DN50mm dày 2,5mm</t>
  </si>
  <si>
    <t>Cung cấp và lắp đặt côn STK, DN65mm</t>
  </si>
  <si>
    <t>Cung cấp và lắp đặtcôn STK DN50mm</t>
  </si>
  <si>
    <t>Cung cấp và lắp đặt tê STK DN 50x50</t>
  </si>
  <si>
    <t>Cung cấp và lắp đặt bích STK DN 65</t>
  </si>
  <si>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</si>
  <si>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Lắp đặt boulon</t>
  </si>
  <si>
    <t>BM</t>
  </si>
  <si>
    <t>2b. Thiết bị báo cháy :</t>
  </si>
  <si>
    <t>Cung cấp và lắp đặt Đầu báo nhiệt ngoài trời chống nổ</t>
  </si>
  <si>
    <t>10 đầu</t>
  </si>
  <si>
    <t>Cung cấp và lắp đặt Module điều khiển</t>
  </si>
  <si>
    <t>Cung cấp và lắp đặt Module kiểm soát thiết bị không địa chỉ</t>
  </si>
  <si>
    <t>Cung cấp và lắp đặt Module bảo vệ ngắn mạch</t>
  </si>
  <si>
    <t>Cung cấp và lắp đặt ống STK DN27mm bảo vệ dây</t>
  </si>
  <si>
    <t>Cung cấp và lắp đặt kẹp ống DN27</t>
  </si>
  <si>
    <t>Cung cấp và lắp đặt hộp phân dây 100x100</t>
  </si>
  <si>
    <t>Cung cấp và lắp đặt đèn báo cháy ngoài trời</t>
  </si>
  <si>
    <t>Cung cấp và lắp đặt nút báo cháy địa chỉ</t>
  </si>
  <si>
    <t>Cung cấp và lắp đặt chuông báo cháy</t>
  </si>
  <si>
    <t>Cung cấp và lắp đặt hộp đựng module báo cháy ngoải trời</t>
  </si>
  <si>
    <t>BN</t>
  </si>
  <si>
    <t>3a. Vật tư nhà bơm :</t>
  </si>
  <si>
    <t>Cung cấp bình điều áp 50 lít</t>
  </si>
  <si>
    <t>Cung cấp và lắp đặt máng điện 150x100, tôn dày 1mm</t>
  </si>
  <si>
    <t>Cung cấp và lắp đặt bình chữa cháy CO2 5kG ( bao gồm giá đỡ )</t>
  </si>
  <si>
    <t>Bình</t>
  </si>
  <si>
    <t>Cung cấp và lắp đặtĐèn Exit 12W-225V, 50Hz, có pin DC dự phòng</t>
  </si>
  <si>
    <t>BO</t>
  </si>
  <si>
    <t>3b. Phụ kiện nhà bơm :</t>
  </si>
  <si>
    <t>BP</t>
  </si>
  <si>
    <t>3c. Vật tư thiết bị báo cháy :</t>
  </si>
  <si>
    <t>Cung cấp và lắp đặt đầu báo cháy khói Ion - địa chỉ</t>
  </si>
  <si>
    <t>Cung cấp và lắp đặt Module cách ly</t>
  </si>
  <si>
    <t>BQ</t>
  </si>
  <si>
    <t>3d. Vật tư cấp nguồn nhà bơm :</t>
  </si>
  <si>
    <t>MCB 4P, 600VAC - 350A</t>
  </si>
  <si>
    <t>MCB 4P, 600VAC - 40AF/40AT</t>
  </si>
  <si>
    <t>MCB 2P, 600VAC - 20AF/20AT</t>
  </si>
  <si>
    <t>Cung cấp và lắp đặt cáp đồng bọc loại uPVC/XLPE/uPVC - 1000VAC (3x95x1x50)mm2</t>
  </si>
  <si>
    <t>Cung cấp và lắp đặt cáp đồng bọc loại uPVC/XLPE/uPVC - 1000VAC (3x70x1x35)mm2</t>
  </si>
  <si>
    <t>Cung cấp và lắp đặt cáp đồng bọc loại uPVC/XLPE/uPVC - 1000VAC (3x10x1x6)mm2</t>
  </si>
  <si>
    <t>Cung cấp và lắp đặt dây dẫn 2 ruột 2x1,5mm2</t>
  </si>
  <si>
    <t>Cung cấp và lắp đặt dây dẫn 2 ruột 2x2,5mm2</t>
  </si>
  <si>
    <t>Cung cấp và lắp đặt ống nhựa đặt chìm bảo hộ dây dẫn Ø 27mm</t>
  </si>
  <si>
    <t>Cung cấp và lắp đặt ống nhựa đặt chìm bảo hộ dây dẫn, đường kính Ø 100mm</t>
  </si>
  <si>
    <t>Cung cấp và lắp đặt đèn Led đơn 1,2m, 1x21,5W, 220V, 50Hz (Trọn bộ balast, máng đèn, chụp)</t>
  </si>
  <si>
    <t>BR</t>
  </si>
  <si>
    <t>3e. Vật tư nối đất nhà bơm :</t>
  </si>
  <si>
    <t>Cung cấp và lắp đặt dây tiếp địa, đồng mềm 25mm2</t>
  </si>
  <si>
    <t>Cung cấp và lắp đặt đầu cosse dây tiếp địa 25mm2</t>
  </si>
  <si>
    <t>Cung cấp và lắp đặt kẹp C dây tiếp địa 25mm2</t>
  </si>
  <si>
    <t>Cung cấp và lắp đặt kẹp C dây tiếp địa 50mm2</t>
  </si>
  <si>
    <t>Cung cấp và lắp đặt mối hàn hóa nhiệt (Cadweld)</t>
  </si>
  <si>
    <t>mối</t>
  </si>
  <si>
    <t>BV</t>
  </si>
  <si>
    <t>*7. Bố trí TB báo cháy &amp; phương tiện chữa cháy :</t>
  </si>
  <si>
    <t>BW</t>
  </si>
  <si>
    <t>7a. Nhà điều khiển :</t>
  </si>
  <si>
    <t>Cung cấp và lắp đặt đầu báo cháy khói thường</t>
  </si>
  <si>
    <t>Cung cấp và lắp đặt đầu báo nhiệt gia tăng chống nổ</t>
  </si>
  <si>
    <t>Cung cấp và lắp đặt nút báo cháy thường</t>
  </si>
  <si>
    <t>Cung cấp và lắp đặt ống STK DN21mm bảo vệ dây</t>
  </si>
  <si>
    <t>Cung cấp và lắp đặt ống ruột gà DN21mm bảo vệ dây</t>
  </si>
  <si>
    <t>Cung cấp và lắp đặt kẹp ống DN21</t>
  </si>
  <si>
    <t>Cung cấp và lắp đặt hộp nối thép 50x50</t>
  </si>
  <si>
    <t>Cung cấp và lắp đặt hộp đựng module báo cháy</t>
  </si>
  <si>
    <t>Cung cấp và lắp đặt Đèn thoát hiểm</t>
  </si>
  <si>
    <t>Quần áo chữa cháy</t>
  </si>
  <si>
    <t>Bộ</t>
  </si>
  <si>
    <t>Găng tay,mũ, ủng chửa cháy</t>
  </si>
  <si>
    <t>BX</t>
  </si>
  <si>
    <t>7b. Nhà bảo vệ :</t>
  </si>
  <si>
    <t>Cung cấp và lắp đặt bình CO2 chữa cháy 5kg (trọn gói)</t>
  </si>
  <si>
    <t>Cung cấp và lắp đặt đèn báo cháy</t>
  </si>
  <si>
    <t>BY</t>
  </si>
  <si>
    <t>7c. Sơ dồ điều khiển tủ Module tại nhà bảo vệ :</t>
  </si>
  <si>
    <t>Cung cấp và lắp đặt nút báo cháy</t>
  </si>
  <si>
    <t>Cung cấp và lắp đặt Module đầu vào địa chỉ</t>
  </si>
  <si>
    <t>Cung cấp và lắp đặt Module đầu ra địa chỉ</t>
  </si>
  <si>
    <t>Cung cấp và lắp đặt MCB 2P, 240VAC - 10A</t>
  </si>
  <si>
    <t>Cung cấp và lắp đặt Bộ nguồn 240V/24VDC-10A + MCB 240V-10A 2P ( trọn bộ đầy đủ các phụ kiện kèm theo)</t>
  </si>
  <si>
    <t>Cung cấp và lắp đặt Phụ kiện lắp đặt</t>
  </si>
  <si>
    <t>Cung cấp và lắp đặt Nút nhấn khởi động</t>
  </si>
  <si>
    <t>Cung cấp và lắp đặt Nút nhấn dừng</t>
  </si>
  <si>
    <t>BZ</t>
  </si>
  <si>
    <t>7d. Nhà trực ca</t>
  </si>
  <si>
    <t>Cung cấp và lắp đặt hộp nối dây 100x100</t>
  </si>
  <si>
    <t>Cung cấp bình chữa cháy CO2 5kG</t>
  </si>
  <si>
    <t>CA</t>
  </si>
  <si>
    <t>8. Máy bơm và động cơ truyền động</t>
  </si>
  <si>
    <t>Ghi chú</t>
  </si>
  <si>
    <t>Đơn vị 
tính</t>
  </si>
  <si>
    <t xml:space="preserve">Gói thầu số 09: “Xây dựng nhà điều khiển, nhà nghỉ ca, nhà để xe, cổng, tường rào và san nền trạm biến áp; cung cấp và lắp đặt HT PCCC” 
</t>
  </si>
  <si>
    <t xml:space="preserve">Dự án: Trạm biến áp 220kV Năm Căn và đường dây 220kV Năm Căn – Cà Mau 2
</t>
  </si>
  <si>
    <t>Mô tả công việc</t>
  </si>
  <si>
    <t>BẢNG CHI TIẾT GIÁ TRỊ HỢP ĐỒNG</t>
  </si>
  <si>
    <t>Khối lượng</t>
  </si>
  <si>
    <t>Cung cấp và lắp đặt van chặn DN 80</t>
  </si>
  <si>
    <t>Cung cấp và lắp đặt ống STK DN80mm dày 3,5mm</t>
  </si>
  <si>
    <t>Cung cấp và lắp đặt tê STK DN100x100x80</t>
  </si>
  <si>
    <t>Tủ VN, dây và vòi Tomoken/BQP</t>
  </si>
  <si>
    <t>Shinyi</t>
  </si>
  <si>
    <t>cadivi</t>
  </si>
  <si>
    <t>Minh Phát</t>
  </si>
  <si>
    <t>VN</t>
  </si>
  <si>
    <t>Hòa  Phát</t>
  </si>
  <si>
    <t>Đầu báo nhiệt chống nổ 90oC  -FFH-2E090-Hochiki/ Japan</t>
  </si>
  <si>
    <t>DCP-FRCME-M - Hochiki/ USA</t>
  </si>
  <si>
    <t>DCP-R2ML - Hochiki/ USA</t>
  </si>
  <si>
    <t>DCP-CZM - Hochiki/ USA</t>
  </si>
  <si>
    <t>Acquy khô 12V-20Ah</t>
  </si>
  <si>
    <t>Bộ nguồn phụ 220VAC/24VDC 10A, màu đỏ (không acquy)</t>
  </si>
  <si>
    <t>Acquy khô 12V-12Ah</t>
  </si>
  <si>
    <t>12V-20Ah/VN</t>
  </si>
  <si>
    <t>12V-12Ah</t>
  </si>
  <si>
    <t>FN-1024X-R/220V  - Hochiki/ USA</t>
  </si>
  <si>
    <t>WHEC24-75WR  -Hochiki/ USA</t>
  </si>
  <si>
    <t>DCP-AMS</t>
  </si>
  <si>
    <t>FBB-150K</t>
  </si>
  <si>
    <t>HPS-SAH</t>
  </si>
  <si>
    <t>HES3-24WR</t>
  </si>
  <si>
    <t>KFDO-CS-EX2.51PI - Hochiki/ Singapore</t>
  </si>
  <si>
    <t>DCP-SCI - Hochiki/ USA</t>
  </si>
  <si>
    <t>Thành tiền</t>
  </si>
  <si>
    <t>Đơn giá vật tư + nhân công</t>
  </si>
  <si>
    <t>Ắc quy + phụ kiện chân đế</t>
  </si>
  <si>
    <t xml:space="preserve">Nhân công chỉnh sửa , lắp đặt </t>
  </si>
  <si>
    <t>Nhân công đấu nối kiểm tra và chạy bơm</t>
  </si>
  <si>
    <t>Nhân công chỉnh sửa , lắp đặt  sơn màu đỏ hệ thống</t>
  </si>
  <si>
    <t>Nhà thầu báo giá : Công ty TNHH Titsmart</t>
  </si>
  <si>
    <t>MỤC A</t>
  </si>
  <si>
    <t>MỤC B</t>
  </si>
  <si>
    <t xml:space="preserve">Gia công lắp đặt lại giàn phun sương, lắp đặt lại ống đã cắt; </t>
  </si>
  <si>
    <t>Kéo cáp nguồn đấu nối</t>
  </si>
  <si>
    <t>Lắp đặt dây tiếp địa dàn phun sương (dây 50mm): 60m</t>
  </si>
  <si>
    <t>Lắp đặt dây tiếp địa nhà bơm (dây 120mm): 20m</t>
  </si>
  <si>
    <t>TỔNG CỘNG MỤC A</t>
  </si>
  <si>
    <t>TỔNG CỘNG MỤC B</t>
  </si>
  <si>
    <t>TỔNG CỘNG (A+B)</t>
  </si>
  <si>
    <t>THUẾ VAT (8%)</t>
  </si>
  <si>
    <t>TỔNG CỘNG SAU THUẾ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</si>
</sst>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_-* #,##0.00_-;\-* #,##0.00_-;_-* &quot;-&quot;??_-;_-@_-"/>
    <numFmt numFmtId="165" formatCode="_-* #,##0_-;\-* #,##0_-;_-* &quot;-&quot;??_-;_-@_-"/>
  </numFmts>
  <fonts count="10" x14ac:knownFonts="1">
    <font>
      <sz val="11"/>
      <name val="Calibri"/>
    </font>
    <font>
      <b/>
      <sz val="16"/>
      <name val="Times New Roman"/>
      <family val="1"/>
    </font>
    <font>
      <sz val="8"/>
      <name val="Calibri"/>
      <family val="2"/>
    </font>
    <font>
      <sz val="11"/>
      <name val="Calibri"/>
      <family val="2"/>
    </font>
    <font>
      <sz val="13"/>
      <name val="Times New Roman"/>
      <family val="1"/>
    </font>
    <font>
      <sz val="14"/>
      <name val="Times New Roman"/>
      <family val="1"/>
    </font>
    <font>
      <b/>
      <sz val="14"/>
      <name val="Times New Roman"/>
      <family val="1"/>
    </font>
    <font>
      <b/>
      <sz val="13"/>
      <name val="Times New Roman"/>
      <family val="1"/>
    </font>
    <font>
      <sz val="12"/>
      <name val="Times New Roman"/>
      <family val="1"/>
    </font>
    <font>
      <b/>
      <sz val="12"/>
      <name val="Times New Roman"/>
      <family val="1"/>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2">
    <xf numFmtId="0" fontId="0" fillId="0" borderId="0">
      <alignment vertical="center"/>
    </xf>
    <xf numFmtId="164" fontId="3" fillId="0" borderId="0" applyFont="0" applyFill="0" applyBorder="0" applyAlignment="0" applyProtection="0"/>
  </cellStyleXfs>
  <cellXfs count="55">
    <xf numFmtId="0" fontId="0" fillId="0" borderId="0" xfId="0">
      <alignment vertical="center"/>
    </xf>
    <xf numFmtId="0" fontId="4" fillId="0" borderId="1" xfId="0" applyFont="1" applyBorder="1" applyAlignment="1">
      <alignment horizontal="justify" vertical="center"/>
    </xf>
    <xf numFmtId="0" fontId="1" fillId="0" borderId="0" xfId="0" applyFont="1" applyAlignment="1">
      <alignment horizontal="center" vertical="center"/>
    </xf>
    <xf numFmtId="0" fontId="5" fillId="0" borderId="0" xfId="0" applyFont="1" applyAlignment="1"/>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7" xfId="0" applyFont="1" applyBorder="1" applyAlignment="1">
      <alignment horizontal="center" vertical="center"/>
    </xf>
    <xf numFmtId="0" fontId="7" fillId="2" borderId="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5" xfId="0" applyFont="1" applyFill="1" applyBorder="1" applyAlignment="1">
      <alignment horizontal="center" vertical="center"/>
    </xf>
    <xf numFmtId="0" fontId="8" fillId="0" borderId="0" xfId="0" applyFont="1" applyAlignment="1"/>
    <xf numFmtId="0" fontId="7" fillId="2" borderId="6" xfId="0" applyFont="1" applyFill="1" applyBorder="1" applyAlignment="1">
      <alignment horizontal="center" vertical="center" wrapText="1"/>
    </xf>
    <xf numFmtId="0" fontId="7" fillId="2" borderId="6"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1" xfId="0" applyFont="1" applyFill="1" applyBorder="1" applyAlignment="1">
      <alignment vertical="center" wrapText="1"/>
    </xf>
    <xf numFmtId="0" fontId="7"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1" xfId="0" applyFont="1" applyFill="1" applyBorder="1" applyAlignment="1">
      <alignment horizontal="right" vertical="center" wrapText="1"/>
    </xf>
    <xf numFmtId="0" fontId="4" fillId="2" borderId="1" xfId="0"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5" xfId="0" applyFont="1" applyFill="1" applyBorder="1" applyAlignment="1">
      <alignment horizontal="center" vertical="center" wrapText="1"/>
    </xf>
    <xf numFmtId="0" fontId="4" fillId="2" borderId="5" xfId="0" applyFont="1" applyFill="1" applyBorder="1" applyAlignment="1">
      <alignment vertical="center" wrapText="1"/>
    </xf>
    <xf numFmtId="0" fontId="4" fillId="2" borderId="5" xfId="0" applyFont="1" applyFill="1" applyBorder="1" applyAlignment="1">
      <alignment horizontal="right" vertical="center" wrapText="1"/>
    </xf>
    <xf numFmtId="0" fontId="4" fillId="0" borderId="1"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8" fillId="2" borderId="0" xfId="0" applyFont="1" applyFill="1">
      <alignment vertical="center"/>
    </xf>
    <xf numFmtId="165" fontId="4" fillId="2" borderId="1" xfId="1" applyNumberFormat="1" applyFont="1" applyFill="1" applyBorder="1" applyAlignment="1">
      <alignment vertical="center"/>
    </xf>
    <xf numFmtId="0" fontId="4" fillId="2" borderId="1" xfId="0" applyFont="1" applyFill="1" applyBorder="1" applyAlignment="1">
      <alignment vertical="center"/>
    </xf>
    <xf numFmtId="165" fontId="4" fillId="2" borderId="1" xfId="0" applyNumberFormat="1" applyFont="1" applyFill="1" applyBorder="1" applyAlignment="1">
      <alignment vertical="center"/>
    </xf>
    <xf numFmtId="165" fontId="4" fillId="2" borderId="1" xfId="1" applyNumberFormat="1" applyFont="1" applyFill="1" applyBorder="1" applyAlignment="1">
      <alignment vertical="center" wrapText="1"/>
    </xf>
    <xf numFmtId="0" fontId="4" fillId="2" borderId="1" xfId="0" applyFont="1" applyFill="1" applyBorder="1" applyAlignment="1">
      <alignment horizontal="left" vertical="center" wrapText="1"/>
    </xf>
    <xf numFmtId="165" fontId="4" fillId="2" borderId="5" xfId="1" applyNumberFormat="1" applyFont="1" applyFill="1" applyBorder="1" applyAlignment="1">
      <alignment vertical="center"/>
    </xf>
    <xf numFmtId="0" fontId="7" fillId="0" borderId="1" xfId="0" applyFont="1" applyBorder="1" applyAlignment="1">
      <alignment vertical="center"/>
    </xf>
    <xf numFmtId="0" fontId="4" fillId="0" borderId="1" xfId="0" applyFont="1" applyBorder="1" applyAlignment="1">
      <alignment vertical="center"/>
    </xf>
    <xf numFmtId="0" fontId="8" fillId="2" borderId="1" xfId="0" applyFont="1" applyFill="1" applyBorder="1" applyAlignment="1">
      <alignment vertical="center"/>
    </xf>
    <xf numFmtId="0" fontId="8" fillId="0" borderId="1" xfId="0" applyFont="1" applyBorder="1" applyAlignment="1">
      <alignment vertical="center"/>
    </xf>
    <xf numFmtId="41" fontId="4" fillId="2" borderId="1" xfId="0" applyNumberFormat="1" applyFont="1" applyFill="1" applyBorder="1" applyAlignment="1">
      <alignment vertical="center"/>
    </xf>
    <xf numFmtId="41" fontId="4" fillId="2" borderId="5" xfId="0" applyNumberFormat="1" applyFont="1" applyFill="1" applyBorder="1" applyAlignment="1">
      <alignment vertical="center"/>
    </xf>
    <xf numFmtId="41" fontId="7" fillId="0" borderId="1" xfId="0" applyNumberFormat="1" applyFont="1" applyBorder="1" applyAlignment="1">
      <alignment vertical="center"/>
    </xf>
    <xf numFmtId="41" fontId="4" fillId="0" borderId="1" xfId="0" applyNumberFormat="1" applyFont="1" applyBorder="1" applyAlignment="1">
      <alignment vertical="center"/>
    </xf>
    <xf numFmtId="41" fontId="7" fillId="0" borderId="1" xfId="0" applyNumberFormat="1" applyFont="1" applyBorder="1" applyAlignment="1">
      <alignment horizontal="right" vertical="center"/>
    </xf>
    <xf numFmtId="41" fontId="7" fillId="0" borderId="1" xfId="0" applyNumberFormat="1" applyFont="1" applyBorder="1" applyAlignment="1">
      <alignment horizontal="center" vertical="center"/>
    </xf>
    <xf numFmtId="41" fontId="4" fillId="0" borderId="0" xfId="0" applyNumberFormat="1" applyFont="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0/cellImage" Target="NUL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8"/>
  <sheetViews>
    <sheetView tabSelected="1" zoomScale="70" zoomScaleNormal="70" workbookViewId="0">
      <pane ySplit="7" topLeftCell="A8" activePane="bottomLeft" state="frozen"/>
      <selection pane="bottomLeft" activeCell="G166" sqref="G166"/>
    </sheetView>
  </sheetViews>
  <sheetFormatPr defaultColWidth="9.21875" defaultRowHeight="15.6" x14ac:dyDescent="0.3"/>
  <cols>
    <col min="1" max="1" width="7.21875" style="35" customWidth="1"/>
    <col min="2" max="2" width="61" style="36" customWidth="1"/>
    <col min="3" max="3" width="27" style="35" customWidth="1"/>
    <col min="4" max="4" width="17.77734375" style="35" customWidth="1"/>
    <col min="5" max="5" width="19" style="37" customWidth="1"/>
    <col min="6" max="6" width="14.77734375" style="10" customWidth="1"/>
    <col min="7" max="7" width="18.21875" style="10" bestFit="1" customWidth="1"/>
    <col min="8" max="8" width="25.44140625" style="10" customWidth="1"/>
    <col min="9" max="16384" width="9.21875" style="10"/>
  </cols>
  <sheetData>
    <row r="1" spans="1:8" s="3" customFormat="1" ht="20.399999999999999" x14ac:dyDescent="0.35">
      <c r="A1" s="2" t="s">
        <v>141</v>
      </c>
      <c r="B1" s="2"/>
      <c r="C1" s="2"/>
      <c r="D1" s="2"/>
      <c r="E1" s="2"/>
      <c r="F1" s="2"/>
      <c r="G1" s="2"/>
      <c r="H1" s="2"/>
    </row>
    <row r="2" spans="1:8" s="3" customFormat="1" ht="18" x14ac:dyDescent="0.35">
      <c r="A2" s="4" t="s">
        <v>138</v>
      </c>
      <c r="B2" s="4"/>
      <c r="C2" s="4"/>
      <c r="D2" s="4"/>
      <c r="E2" s="4"/>
      <c r="F2" s="4"/>
      <c r="G2" s="4"/>
      <c r="H2" s="4"/>
    </row>
    <row r="3" spans="1:8" s="3" customFormat="1" ht="18" x14ac:dyDescent="0.35">
      <c r="A3" s="5" t="s">
        <v>139</v>
      </c>
      <c r="B3" s="4"/>
      <c r="C3" s="4"/>
      <c r="D3" s="4"/>
      <c r="E3" s="4"/>
      <c r="F3" s="4"/>
      <c r="G3" s="4"/>
      <c r="H3" s="4"/>
    </row>
    <row r="4" spans="1:8" s="3" customFormat="1" ht="17.25" customHeight="1" x14ac:dyDescent="0.35">
      <c r="A4" s="6" t="s">
        <v>175</v>
      </c>
      <c r="B4" s="6"/>
      <c r="C4" s="6"/>
      <c r="D4" s="6"/>
      <c r="E4" s="6"/>
      <c r="F4" s="6"/>
      <c r="G4" s="6"/>
      <c r="H4" s="6"/>
    </row>
    <row r="5" spans="1:8" x14ac:dyDescent="0.3">
      <c r="A5" s="7" t="s">
        <v>0</v>
      </c>
      <c r="B5" s="7" t="s">
        <v>140</v>
      </c>
      <c r="C5" s="7" t="s">
        <v>1</v>
      </c>
      <c r="D5" s="7" t="s">
        <v>137</v>
      </c>
      <c r="E5" s="8" t="s">
        <v>142</v>
      </c>
      <c r="F5" s="7" t="s">
        <v>170</v>
      </c>
      <c r="G5" s="9" t="s">
        <v>169</v>
      </c>
      <c r="H5" s="7" t="s">
        <v>136</v>
      </c>
    </row>
    <row r="6" spans="1:8" ht="33.75" customHeight="1" x14ac:dyDescent="0.3">
      <c r="A6" s="7"/>
      <c r="B6" s="7"/>
      <c r="C6" s="7"/>
      <c r="D6" s="7"/>
      <c r="E6" s="11"/>
      <c r="F6" s="7"/>
      <c r="G6" s="12"/>
      <c r="H6" s="7"/>
    </row>
    <row r="7" spans="1:8" ht="34.5" customHeight="1" x14ac:dyDescent="0.3">
      <c r="A7" s="7"/>
      <c r="B7" s="7"/>
      <c r="C7" s="7"/>
      <c r="D7" s="7"/>
      <c r="E7" s="13"/>
      <c r="F7" s="7"/>
      <c r="G7" s="14"/>
      <c r="H7" s="7"/>
    </row>
    <row r="8" spans="1:8" ht="34.5" customHeight="1" x14ac:dyDescent="0.3">
      <c r="A8" s="15" t="s">
        <v>176</v>
      </c>
      <c r="B8" s="16"/>
      <c r="C8" s="17"/>
      <c r="D8" s="17"/>
      <c r="E8" s="18"/>
      <c r="F8" s="17"/>
      <c r="G8" s="19"/>
      <c r="H8" s="17"/>
    </row>
    <row r="9" spans="1:8" ht="67.2" x14ac:dyDescent="0.3">
      <c r="A9" s="17" t="s">
        <v>15</v>
      </c>
      <c r="B9" s="20" t="s">
        <v>16</v>
      </c>
      <c r="C9" s="17"/>
      <c r="D9" s="17"/>
      <c r="E9" s="20"/>
      <c r="F9" s="38"/>
      <c r="G9" s="39"/>
      <c r="H9" s="21"/>
    </row>
    <row r="10" spans="1:8" ht="16.8" x14ac:dyDescent="0.3">
      <c r="A10" s="17" t="s">
        <v>17</v>
      </c>
      <c r="B10" s="20" t="s">
        <v>18</v>
      </c>
      <c r="C10" s="17"/>
      <c r="D10" s="17"/>
      <c r="E10" s="20"/>
      <c r="F10" s="38"/>
      <c r="G10" s="39"/>
      <c r="H10" s="21"/>
    </row>
    <row r="11" spans="1:8" ht="33.6" x14ac:dyDescent="0.3">
      <c r="A11" s="22">
        <v>1</v>
      </c>
      <c r="B11" s="23" t="s">
        <v>19</v>
      </c>
      <c r="C11" s="22" t="s">
        <v>146</v>
      </c>
      <c r="D11" s="22" t="s">
        <v>4</v>
      </c>
      <c r="E11" s="24">
        <v>4</v>
      </c>
      <c r="F11" s="38">
        <v>5418000</v>
      </c>
      <c r="G11" s="40">
        <f t="shared" ref="G11:G27" si="0">F11*E11</f>
        <v>21672000</v>
      </c>
      <c r="H11" s="22"/>
    </row>
    <row r="12" spans="1:8" ht="16.8" x14ac:dyDescent="0.3">
      <c r="A12" s="22">
        <v>3</v>
      </c>
      <c r="B12" s="23" t="s">
        <v>20</v>
      </c>
      <c r="C12" s="22" t="s">
        <v>147</v>
      </c>
      <c r="D12" s="22" t="s">
        <v>4</v>
      </c>
      <c r="E12" s="24">
        <v>3</v>
      </c>
      <c r="F12" s="38">
        <v>6860000</v>
      </c>
      <c r="G12" s="40">
        <f t="shared" si="0"/>
        <v>20580000</v>
      </c>
      <c r="H12" s="25"/>
    </row>
    <row r="13" spans="1:8" ht="16.8" x14ac:dyDescent="0.3">
      <c r="A13" s="22">
        <v>4</v>
      </c>
      <c r="B13" s="23" t="s">
        <v>21</v>
      </c>
      <c r="C13" s="22" t="s">
        <v>147</v>
      </c>
      <c r="D13" s="22" t="s">
        <v>4</v>
      </c>
      <c r="E13" s="24">
        <v>2</v>
      </c>
      <c r="F13" s="38">
        <v>4480000</v>
      </c>
      <c r="G13" s="40">
        <f t="shared" si="0"/>
        <v>8960000</v>
      </c>
      <c r="H13" s="25"/>
    </row>
    <row r="14" spans="1:8" ht="16.8" x14ac:dyDescent="0.3">
      <c r="A14" s="22">
        <v>8</v>
      </c>
      <c r="B14" s="23" t="s">
        <v>22</v>
      </c>
      <c r="C14" s="22"/>
      <c r="D14" s="22" t="s">
        <v>4</v>
      </c>
      <c r="E14" s="24">
        <v>1</v>
      </c>
      <c r="F14" s="38">
        <v>489999.99999999994</v>
      </c>
      <c r="G14" s="40">
        <f t="shared" si="0"/>
        <v>489999.99999999994</v>
      </c>
      <c r="H14" s="25"/>
    </row>
    <row r="15" spans="1:8" ht="16.8" x14ac:dyDescent="0.3">
      <c r="A15" s="22">
        <v>10</v>
      </c>
      <c r="B15" s="23" t="s">
        <v>23</v>
      </c>
      <c r="C15" s="22"/>
      <c r="D15" s="22" t="s">
        <v>24</v>
      </c>
      <c r="E15" s="24">
        <v>6</v>
      </c>
      <c r="F15" s="38">
        <v>308000</v>
      </c>
      <c r="G15" s="40">
        <f t="shared" si="0"/>
        <v>1848000</v>
      </c>
      <c r="H15" s="25"/>
    </row>
    <row r="16" spans="1:8" ht="16.8" x14ac:dyDescent="0.3">
      <c r="A16" s="22">
        <v>11</v>
      </c>
      <c r="B16" s="23" t="s">
        <v>25</v>
      </c>
      <c r="C16" s="22"/>
      <c r="D16" s="22" t="s">
        <v>24</v>
      </c>
      <c r="E16" s="24">
        <v>4</v>
      </c>
      <c r="F16" s="38">
        <v>251999.99999999997</v>
      </c>
      <c r="G16" s="40">
        <f t="shared" si="0"/>
        <v>1007999.9999999999</v>
      </c>
      <c r="H16" s="25"/>
    </row>
    <row r="17" spans="1:8" ht="16.8" x14ac:dyDescent="0.3">
      <c r="A17" s="22">
        <v>12</v>
      </c>
      <c r="B17" s="23" t="s">
        <v>26</v>
      </c>
      <c r="C17" s="22"/>
      <c r="D17" s="22" t="s">
        <v>5</v>
      </c>
      <c r="E17" s="24">
        <v>10</v>
      </c>
      <c r="F17" s="38">
        <v>49000</v>
      </c>
      <c r="G17" s="40">
        <f t="shared" si="0"/>
        <v>490000</v>
      </c>
      <c r="H17" s="25"/>
    </row>
    <row r="18" spans="1:8" ht="84" x14ac:dyDescent="0.3">
      <c r="A18" s="22">
        <v>13</v>
      </c>
      <c r="B18" s="23" t="s">
        <v>27</v>
      </c>
      <c r="C18" s="22"/>
      <c r="D18" s="22" t="s">
        <v>10</v>
      </c>
      <c r="E18" s="24">
        <v>0.04</v>
      </c>
      <c r="F18" s="38">
        <v>91000000</v>
      </c>
      <c r="G18" s="40">
        <f t="shared" si="0"/>
        <v>3640000</v>
      </c>
      <c r="H18" s="25"/>
    </row>
    <row r="19" spans="1:8" ht="16.8" x14ac:dyDescent="0.3">
      <c r="A19" s="22">
        <v>14</v>
      </c>
      <c r="B19" s="23" t="s">
        <v>28</v>
      </c>
      <c r="C19" s="22"/>
      <c r="D19" s="22" t="s">
        <v>3</v>
      </c>
      <c r="E19" s="24">
        <f>E18</f>
        <v>0.04</v>
      </c>
      <c r="F19" s="38">
        <v>6300000</v>
      </c>
      <c r="G19" s="40">
        <f t="shared" si="0"/>
        <v>252000</v>
      </c>
      <c r="H19" s="25"/>
    </row>
    <row r="20" spans="1:8" ht="33.6" x14ac:dyDescent="0.3">
      <c r="A20" s="22">
        <v>15</v>
      </c>
      <c r="B20" s="23" t="s">
        <v>29</v>
      </c>
      <c r="C20" s="22" t="s">
        <v>148</v>
      </c>
      <c r="D20" s="22" t="s">
        <v>9</v>
      </c>
      <c r="E20" s="24">
        <v>100</v>
      </c>
      <c r="F20" s="38">
        <v>77000</v>
      </c>
      <c r="G20" s="40">
        <f t="shared" si="0"/>
        <v>7700000</v>
      </c>
      <c r="H20" s="25"/>
    </row>
    <row r="21" spans="1:8" ht="16.8" x14ac:dyDescent="0.3">
      <c r="A21" s="22">
        <v>16</v>
      </c>
      <c r="B21" s="23" t="s">
        <v>30</v>
      </c>
      <c r="C21" s="22" t="s">
        <v>149</v>
      </c>
      <c r="D21" s="22" t="s">
        <v>6</v>
      </c>
      <c r="E21" s="24">
        <v>0.5</v>
      </c>
      <c r="F21" s="38">
        <v>3080000</v>
      </c>
      <c r="G21" s="40">
        <f t="shared" si="0"/>
        <v>1540000</v>
      </c>
      <c r="H21" s="25"/>
    </row>
    <row r="22" spans="1:8" ht="16.8" x14ac:dyDescent="0.3">
      <c r="A22" s="22">
        <v>17</v>
      </c>
      <c r="B22" s="23" t="s">
        <v>31</v>
      </c>
      <c r="C22" s="22" t="s">
        <v>149</v>
      </c>
      <c r="D22" s="22" t="s">
        <v>4</v>
      </c>
      <c r="E22" s="24">
        <v>12</v>
      </c>
      <c r="F22" s="38">
        <v>25200</v>
      </c>
      <c r="G22" s="40">
        <f t="shared" si="0"/>
        <v>302400</v>
      </c>
      <c r="H22" s="25"/>
    </row>
    <row r="23" spans="1:8" ht="16.8" x14ac:dyDescent="0.3">
      <c r="A23" s="22">
        <v>18</v>
      </c>
      <c r="B23" s="23" t="s">
        <v>32</v>
      </c>
      <c r="C23" s="22" t="s">
        <v>150</v>
      </c>
      <c r="D23" s="22" t="s">
        <v>14</v>
      </c>
      <c r="E23" s="24">
        <v>1</v>
      </c>
      <c r="F23" s="38">
        <v>770000</v>
      </c>
      <c r="G23" s="40">
        <f t="shared" si="0"/>
        <v>770000</v>
      </c>
      <c r="H23" s="25"/>
    </row>
    <row r="24" spans="1:8" ht="16.8" x14ac:dyDescent="0.3">
      <c r="A24" s="22">
        <v>19</v>
      </c>
      <c r="B24" s="23" t="s">
        <v>33</v>
      </c>
      <c r="C24" s="22" t="s">
        <v>150</v>
      </c>
      <c r="D24" s="22" t="s">
        <v>14</v>
      </c>
      <c r="E24" s="24">
        <v>2</v>
      </c>
      <c r="F24" s="38">
        <v>910000</v>
      </c>
      <c r="G24" s="40">
        <f t="shared" si="0"/>
        <v>1820000</v>
      </c>
      <c r="H24" s="25"/>
    </row>
    <row r="25" spans="1:8" ht="16.8" x14ac:dyDescent="0.3">
      <c r="A25" s="22">
        <v>20</v>
      </c>
      <c r="B25" s="23" t="s">
        <v>34</v>
      </c>
      <c r="C25" s="22"/>
      <c r="D25" s="22" t="s">
        <v>9</v>
      </c>
      <c r="E25" s="24">
        <v>60</v>
      </c>
      <c r="F25" s="38">
        <v>0</v>
      </c>
      <c r="G25" s="40">
        <f t="shared" si="0"/>
        <v>0</v>
      </c>
      <c r="H25" s="25"/>
    </row>
    <row r="26" spans="1:8" ht="16.8" x14ac:dyDescent="0.3">
      <c r="A26" s="22">
        <v>21</v>
      </c>
      <c r="B26" s="23" t="s">
        <v>35</v>
      </c>
      <c r="C26" s="22"/>
      <c r="D26" s="22" t="s">
        <v>7</v>
      </c>
      <c r="E26" s="24">
        <v>30</v>
      </c>
      <c r="F26" s="38">
        <v>0</v>
      </c>
      <c r="G26" s="40">
        <f t="shared" si="0"/>
        <v>0</v>
      </c>
      <c r="H26" s="25"/>
    </row>
    <row r="27" spans="1:8" ht="16.8" x14ac:dyDescent="0.3">
      <c r="A27" s="22">
        <v>22</v>
      </c>
      <c r="B27" s="23" t="s">
        <v>36</v>
      </c>
      <c r="C27" s="22"/>
      <c r="D27" s="22" t="s">
        <v>37</v>
      </c>
      <c r="E27" s="24">
        <v>15</v>
      </c>
      <c r="F27" s="38">
        <v>0</v>
      </c>
      <c r="G27" s="40">
        <f t="shared" si="0"/>
        <v>0</v>
      </c>
      <c r="H27" s="25"/>
    </row>
    <row r="28" spans="1:8" ht="33.6" x14ac:dyDescent="0.3">
      <c r="A28" s="22">
        <v>23</v>
      </c>
      <c r="B28" s="23" t="s">
        <v>38</v>
      </c>
      <c r="C28" s="22"/>
      <c r="D28" s="22" t="s">
        <v>39</v>
      </c>
      <c r="E28" s="24">
        <v>2</v>
      </c>
      <c r="F28" s="38">
        <v>0</v>
      </c>
      <c r="G28" s="40"/>
      <c r="H28" s="38"/>
    </row>
    <row r="29" spans="1:8" ht="16.8" x14ac:dyDescent="0.3">
      <c r="A29" s="22"/>
      <c r="B29" s="23" t="s">
        <v>174</v>
      </c>
      <c r="C29" s="22"/>
      <c r="D29" s="22"/>
      <c r="E29" s="24"/>
      <c r="F29" s="38"/>
      <c r="G29" s="40">
        <v>25000000</v>
      </c>
      <c r="H29" s="38"/>
    </row>
    <row r="30" spans="1:8" ht="33.6" x14ac:dyDescent="0.3">
      <c r="A30" s="17" t="s">
        <v>40</v>
      </c>
      <c r="B30" s="20" t="s">
        <v>41</v>
      </c>
      <c r="C30" s="17"/>
      <c r="D30" s="17"/>
      <c r="E30" s="20"/>
      <c r="F30" s="38"/>
      <c r="G30" s="40"/>
      <c r="H30" s="21"/>
    </row>
    <row r="31" spans="1:8" ht="16.8" x14ac:dyDescent="0.3">
      <c r="A31" s="17" t="s">
        <v>42</v>
      </c>
      <c r="B31" s="20" t="s">
        <v>43</v>
      </c>
      <c r="C31" s="17"/>
      <c r="D31" s="17"/>
      <c r="E31" s="20"/>
      <c r="F31" s="38"/>
      <c r="G31" s="40"/>
      <c r="H31" s="21"/>
    </row>
    <row r="32" spans="1:8" ht="16.8" x14ac:dyDescent="0.3">
      <c r="A32" s="22"/>
      <c r="B32" s="23" t="s">
        <v>143</v>
      </c>
      <c r="C32" s="22" t="s">
        <v>147</v>
      </c>
      <c r="D32" s="22"/>
      <c r="E32" s="24">
        <v>1</v>
      </c>
      <c r="F32" s="38">
        <v>3080000</v>
      </c>
      <c r="G32" s="40">
        <f t="shared" ref="G32:G45" si="1">F32*E32</f>
        <v>3080000</v>
      </c>
      <c r="H32" s="25"/>
    </row>
    <row r="33" spans="1:8" ht="16.8" x14ac:dyDescent="0.3">
      <c r="A33" s="22">
        <v>3</v>
      </c>
      <c r="B33" s="23" t="s">
        <v>44</v>
      </c>
      <c r="C33" s="22" t="s">
        <v>147</v>
      </c>
      <c r="D33" s="22" t="s">
        <v>4</v>
      </c>
      <c r="E33" s="24">
        <v>1</v>
      </c>
      <c r="F33" s="38">
        <v>2240000</v>
      </c>
      <c r="G33" s="40">
        <f t="shared" si="1"/>
        <v>2240000</v>
      </c>
      <c r="H33" s="25"/>
    </row>
    <row r="34" spans="1:8" ht="16.8" x14ac:dyDescent="0.3">
      <c r="A34" s="22"/>
      <c r="B34" s="23" t="s">
        <v>144</v>
      </c>
      <c r="C34" s="22" t="s">
        <v>151</v>
      </c>
      <c r="D34" s="22" t="s">
        <v>6</v>
      </c>
      <c r="E34" s="24">
        <v>0.03</v>
      </c>
      <c r="F34" s="38">
        <v>39200000</v>
      </c>
      <c r="G34" s="40">
        <f t="shared" si="1"/>
        <v>1176000</v>
      </c>
      <c r="H34" s="25"/>
    </row>
    <row r="35" spans="1:8" ht="16.8" x14ac:dyDescent="0.3">
      <c r="A35" s="22">
        <v>8</v>
      </c>
      <c r="B35" s="23" t="s">
        <v>45</v>
      </c>
      <c r="C35" s="22" t="s">
        <v>151</v>
      </c>
      <c r="D35" s="22" t="s">
        <v>6</v>
      </c>
      <c r="E35" s="24">
        <v>0.03</v>
      </c>
      <c r="F35" s="38">
        <v>25200000</v>
      </c>
      <c r="G35" s="40">
        <f t="shared" si="1"/>
        <v>756000</v>
      </c>
      <c r="H35" s="25"/>
    </row>
    <row r="36" spans="1:8" ht="16.8" x14ac:dyDescent="0.3">
      <c r="A36" s="22">
        <v>14</v>
      </c>
      <c r="B36" s="23" t="s">
        <v>46</v>
      </c>
      <c r="C36" s="22"/>
      <c r="D36" s="22" t="s">
        <v>4</v>
      </c>
      <c r="E36" s="24">
        <v>1</v>
      </c>
      <c r="F36" s="38">
        <v>0</v>
      </c>
      <c r="G36" s="40">
        <f t="shared" si="1"/>
        <v>0</v>
      </c>
      <c r="H36" s="25"/>
    </row>
    <row r="37" spans="1:8" ht="16.8" x14ac:dyDescent="0.3">
      <c r="A37" s="22">
        <v>15</v>
      </c>
      <c r="B37" s="23" t="s">
        <v>47</v>
      </c>
      <c r="C37" s="22"/>
      <c r="D37" s="22" t="s">
        <v>4</v>
      </c>
      <c r="E37" s="24">
        <v>1</v>
      </c>
      <c r="F37" s="38">
        <v>0</v>
      </c>
      <c r="G37" s="40">
        <f t="shared" si="1"/>
        <v>0</v>
      </c>
      <c r="H37" s="25"/>
    </row>
    <row r="38" spans="1:8" ht="16.8" x14ac:dyDescent="0.3">
      <c r="A38" s="22"/>
      <c r="B38" s="23" t="s">
        <v>145</v>
      </c>
      <c r="C38" s="22"/>
      <c r="D38" s="22"/>
      <c r="E38" s="24">
        <v>1</v>
      </c>
      <c r="F38" s="38">
        <v>392000</v>
      </c>
      <c r="G38" s="40">
        <f t="shared" si="1"/>
        <v>392000</v>
      </c>
      <c r="H38" s="25"/>
    </row>
    <row r="39" spans="1:8" ht="16.8" x14ac:dyDescent="0.3">
      <c r="A39" s="22">
        <v>20</v>
      </c>
      <c r="B39" s="23" t="s">
        <v>48</v>
      </c>
      <c r="C39" s="22"/>
      <c r="D39" s="22" t="s">
        <v>4</v>
      </c>
      <c r="E39" s="24">
        <v>1</v>
      </c>
      <c r="F39" s="38">
        <v>0</v>
      </c>
      <c r="G39" s="40">
        <f t="shared" si="1"/>
        <v>0</v>
      </c>
      <c r="H39" s="25"/>
    </row>
    <row r="40" spans="1:8" ht="16.8" x14ac:dyDescent="0.3">
      <c r="A40" s="22">
        <v>22</v>
      </c>
      <c r="B40" s="23" t="s">
        <v>49</v>
      </c>
      <c r="C40" s="22"/>
      <c r="D40" s="22" t="s">
        <v>24</v>
      </c>
      <c r="E40" s="24">
        <v>8</v>
      </c>
      <c r="F40" s="38">
        <v>109200</v>
      </c>
      <c r="G40" s="40">
        <f t="shared" si="1"/>
        <v>873600</v>
      </c>
      <c r="H40" s="25"/>
    </row>
    <row r="41" spans="1:8" ht="84" x14ac:dyDescent="0.3">
      <c r="A41" s="22">
        <v>24</v>
      </c>
      <c r="B41" s="23" t="s">
        <v>50</v>
      </c>
      <c r="C41" s="22" t="s">
        <v>150</v>
      </c>
      <c r="D41" s="22" t="s">
        <v>10</v>
      </c>
      <c r="E41" s="24">
        <v>2E-3</v>
      </c>
      <c r="F41" s="38">
        <v>91000000</v>
      </c>
      <c r="G41" s="40">
        <f t="shared" si="1"/>
        <v>182000</v>
      </c>
      <c r="H41" s="25"/>
    </row>
    <row r="42" spans="1:8" ht="16.8" x14ac:dyDescent="0.3">
      <c r="A42" s="22">
        <v>25</v>
      </c>
      <c r="B42" s="23" t="s">
        <v>51</v>
      </c>
      <c r="C42" s="22"/>
      <c r="D42" s="22" t="s">
        <v>10</v>
      </c>
      <c r="E42" s="24">
        <v>2E-3</v>
      </c>
      <c r="F42" s="38">
        <v>6300000</v>
      </c>
      <c r="G42" s="40">
        <f t="shared" si="1"/>
        <v>12600</v>
      </c>
      <c r="H42" s="25"/>
    </row>
    <row r="43" spans="1:8" ht="16.8" x14ac:dyDescent="0.3">
      <c r="A43" s="22">
        <v>26</v>
      </c>
      <c r="B43" s="23" t="s">
        <v>26</v>
      </c>
      <c r="C43" s="22"/>
      <c r="D43" s="22" t="s">
        <v>5</v>
      </c>
      <c r="E43" s="24">
        <v>12</v>
      </c>
      <c r="F43" s="38">
        <v>42000</v>
      </c>
      <c r="G43" s="40">
        <f t="shared" si="1"/>
        <v>504000</v>
      </c>
      <c r="H43" s="25"/>
    </row>
    <row r="44" spans="1:8" ht="16.8" x14ac:dyDescent="0.3">
      <c r="A44" s="22">
        <v>29</v>
      </c>
      <c r="B44" s="23" t="s">
        <v>34</v>
      </c>
      <c r="C44" s="22"/>
      <c r="D44" s="22" t="s">
        <v>9</v>
      </c>
      <c r="E44" s="24">
        <v>40</v>
      </c>
      <c r="F44" s="38">
        <v>0</v>
      </c>
      <c r="G44" s="40">
        <f t="shared" si="1"/>
        <v>0</v>
      </c>
      <c r="H44" s="25"/>
    </row>
    <row r="45" spans="1:8" ht="16.8" x14ac:dyDescent="0.3">
      <c r="A45" s="22">
        <v>30</v>
      </c>
      <c r="B45" s="23" t="s">
        <v>35</v>
      </c>
      <c r="C45" s="22"/>
      <c r="D45" s="22" t="s">
        <v>7</v>
      </c>
      <c r="E45" s="24">
        <v>12</v>
      </c>
      <c r="F45" s="38">
        <v>0</v>
      </c>
      <c r="G45" s="40">
        <f t="shared" si="1"/>
        <v>0</v>
      </c>
      <c r="H45" s="25"/>
    </row>
    <row r="46" spans="1:8" ht="16.8" x14ac:dyDescent="0.3">
      <c r="A46" s="22"/>
      <c r="B46" s="23" t="s">
        <v>172</v>
      </c>
      <c r="C46" s="22"/>
      <c r="D46" s="22"/>
      <c r="E46" s="24"/>
      <c r="F46" s="38"/>
      <c r="G46" s="40">
        <v>15000000</v>
      </c>
      <c r="H46" s="38"/>
    </row>
    <row r="47" spans="1:8" ht="16.8" x14ac:dyDescent="0.3">
      <c r="A47" s="17" t="s">
        <v>52</v>
      </c>
      <c r="B47" s="20" t="s">
        <v>53</v>
      </c>
      <c r="C47" s="17"/>
      <c r="D47" s="17"/>
      <c r="E47" s="20"/>
      <c r="F47" s="38"/>
      <c r="G47" s="40"/>
      <c r="H47" s="21"/>
    </row>
    <row r="48" spans="1:8" ht="50.4" x14ac:dyDescent="0.3">
      <c r="A48" s="22">
        <v>1</v>
      </c>
      <c r="B48" s="23" t="s">
        <v>54</v>
      </c>
      <c r="C48" s="22" t="s">
        <v>152</v>
      </c>
      <c r="D48" s="22" t="s">
        <v>55</v>
      </c>
      <c r="E48" s="24">
        <v>0.4</v>
      </c>
      <c r="F48" s="38">
        <v>96600000</v>
      </c>
      <c r="G48" s="40">
        <f t="shared" ref="G48:G59" si="2">F48*E48</f>
        <v>38640000</v>
      </c>
      <c r="H48" s="25"/>
    </row>
    <row r="49" spans="1:8" ht="33.6" x14ac:dyDescent="0.3">
      <c r="A49" s="22">
        <v>2</v>
      </c>
      <c r="B49" s="23" t="s">
        <v>56</v>
      </c>
      <c r="C49" s="22" t="s">
        <v>154</v>
      </c>
      <c r="D49" s="22" t="s">
        <v>7</v>
      </c>
      <c r="E49" s="24">
        <v>2</v>
      </c>
      <c r="F49" s="38">
        <v>2029999.9999999998</v>
      </c>
      <c r="G49" s="40">
        <f t="shared" si="2"/>
        <v>4059999.9999999995</v>
      </c>
      <c r="H49" s="25"/>
    </row>
    <row r="50" spans="1:8" ht="33.6" x14ac:dyDescent="0.3">
      <c r="A50" s="22">
        <v>3</v>
      </c>
      <c r="B50" s="23" t="s">
        <v>57</v>
      </c>
      <c r="C50" s="22" t="str">
        <f>C71</f>
        <v>DCP-CZM - Hochiki/ USA</v>
      </c>
      <c r="D50" s="22" t="s">
        <v>7</v>
      </c>
      <c r="E50" s="24">
        <v>3</v>
      </c>
      <c r="F50" s="38">
        <v>1750000</v>
      </c>
      <c r="G50" s="40">
        <f t="shared" si="2"/>
        <v>5250000</v>
      </c>
      <c r="H50" s="25"/>
    </row>
    <row r="51" spans="1:8" ht="16.8" x14ac:dyDescent="0.3">
      <c r="A51" s="22">
        <v>4</v>
      </c>
      <c r="B51" s="23" t="s">
        <v>58</v>
      </c>
      <c r="C51" s="22" t="str">
        <f>C107</f>
        <v>DCP-SCI - Hochiki/ USA</v>
      </c>
      <c r="D51" s="22" t="s">
        <v>7</v>
      </c>
      <c r="E51" s="24">
        <v>2</v>
      </c>
      <c r="F51" s="38">
        <v>1330000</v>
      </c>
      <c r="G51" s="40">
        <f t="shared" si="2"/>
        <v>2660000</v>
      </c>
      <c r="H51" s="25"/>
    </row>
    <row r="52" spans="1:8" ht="33.6" x14ac:dyDescent="0.3">
      <c r="A52" s="22">
        <v>5</v>
      </c>
      <c r="B52" s="23" t="s">
        <v>29</v>
      </c>
      <c r="C52" s="22"/>
      <c r="D52" s="22" t="s">
        <v>9</v>
      </c>
      <c r="E52" s="24">
        <v>400</v>
      </c>
      <c r="F52" s="38">
        <v>77000</v>
      </c>
      <c r="G52" s="40">
        <f t="shared" si="2"/>
        <v>30800000</v>
      </c>
      <c r="H52" s="25"/>
    </row>
    <row r="53" spans="1:8" ht="16.8" x14ac:dyDescent="0.3">
      <c r="A53" s="22">
        <v>6</v>
      </c>
      <c r="B53" s="23" t="s">
        <v>59</v>
      </c>
      <c r="C53" s="22"/>
      <c r="D53" s="22" t="s">
        <v>6</v>
      </c>
      <c r="E53" s="24">
        <v>0.4</v>
      </c>
      <c r="F53" s="38">
        <v>30799.999999999996</v>
      </c>
      <c r="G53" s="40">
        <f t="shared" si="2"/>
        <v>12320</v>
      </c>
      <c r="H53" s="25"/>
    </row>
    <row r="54" spans="1:8" ht="16.8" x14ac:dyDescent="0.3">
      <c r="A54" s="22">
        <v>7</v>
      </c>
      <c r="B54" s="23" t="s">
        <v>60</v>
      </c>
      <c r="C54" s="22"/>
      <c r="D54" s="22" t="s">
        <v>7</v>
      </c>
      <c r="E54" s="24">
        <v>20</v>
      </c>
      <c r="F54" s="38">
        <v>25200</v>
      </c>
      <c r="G54" s="40">
        <f t="shared" si="2"/>
        <v>504000</v>
      </c>
      <c r="H54" s="25"/>
    </row>
    <row r="55" spans="1:8" ht="16.8" x14ac:dyDescent="0.3">
      <c r="A55" s="22">
        <v>8</v>
      </c>
      <c r="B55" s="23" t="s">
        <v>61</v>
      </c>
      <c r="C55" s="22"/>
      <c r="D55" s="22" t="s">
        <v>14</v>
      </c>
      <c r="E55" s="24">
        <v>2</v>
      </c>
      <c r="F55" s="38">
        <v>489999.99999999994</v>
      </c>
      <c r="G55" s="40">
        <f t="shared" si="2"/>
        <v>979999.99999999988</v>
      </c>
      <c r="H55" s="25"/>
    </row>
    <row r="56" spans="1:8" ht="33.6" x14ac:dyDescent="0.3">
      <c r="A56" s="22">
        <v>9</v>
      </c>
      <c r="B56" s="23" t="s">
        <v>62</v>
      </c>
      <c r="C56" s="22" t="s">
        <v>162</v>
      </c>
      <c r="D56" s="22" t="s">
        <v>7</v>
      </c>
      <c r="E56" s="24">
        <v>1</v>
      </c>
      <c r="F56" s="38">
        <v>3080000</v>
      </c>
      <c r="G56" s="40">
        <f t="shared" si="2"/>
        <v>3080000</v>
      </c>
      <c r="H56" s="25"/>
    </row>
    <row r="57" spans="1:8" ht="16.8" x14ac:dyDescent="0.3">
      <c r="A57" s="22">
        <v>10</v>
      </c>
      <c r="B57" s="23" t="s">
        <v>63</v>
      </c>
      <c r="C57" s="22" t="s">
        <v>163</v>
      </c>
      <c r="D57" s="22" t="s">
        <v>7</v>
      </c>
      <c r="E57" s="24">
        <v>2</v>
      </c>
      <c r="F57" s="38">
        <v>2170000</v>
      </c>
      <c r="G57" s="40">
        <f t="shared" si="2"/>
        <v>4340000</v>
      </c>
      <c r="H57" s="25"/>
    </row>
    <row r="58" spans="1:8" ht="16.8" x14ac:dyDescent="0.3">
      <c r="A58" s="22">
        <v>11</v>
      </c>
      <c r="B58" s="23" t="s">
        <v>64</v>
      </c>
      <c r="C58" s="22" t="s">
        <v>164</v>
      </c>
      <c r="D58" s="22" t="s">
        <v>7</v>
      </c>
      <c r="E58" s="24">
        <v>3</v>
      </c>
      <c r="F58" s="38">
        <v>588000</v>
      </c>
      <c r="G58" s="40">
        <f t="shared" si="2"/>
        <v>1764000</v>
      </c>
      <c r="H58" s="25"/>
    </row>
    <row r="59" spans="1:8" ht="16.8" x14ac:dyDescent="0.3">
      <c r="A59" s="22">
        <v>12</v>
      </c>
      <c r="B59" s="23" t="s">
        <v>65</v>
      </c>
      <c r="C59" s="22"/>
      <c r="D59" s="22" t="s">
        <v>14</v>
      </c>
      <c r="E59" s="24">
        <v>1</v>
      </c>
      <c r="F59" s="38">
        <v>4550000</v>
      </c>
      <c r="G59" s="40">
        <f t="shared" si="2"/>
        <v>4550000</v>
      </c>
      <c r="H59" s="25"/>
    </row>
    <row r="60" spans="1:8" ht="16.8" x14ac:dyDescent="0.3">
      <c r="A60" s="22"/>
      <c r="B60" s="23" t="s">
        <v>172</v>
      </c>
      <c r="C60" s="22"/>
      <c r="D60" s="22"/>
      <c r="E60" s="24"/>
      <c r="F60" s="38"/>
      <c r="G60" s="40">
        <v>12000000</v>
      </c>
      <c r="H60" s="38"/>
    </row>
    <row r="61" spans="1:8" ht="16.8" x14ac:dyDescent="0.3">
      <c r="A61" s="17" t="s">
        <v>66</v>
      </c>
      <c r="B61" s="20" t="s">
        <v>67</v>
      </c>
      <c r="C61" s="17"/>
      <c r="D61" s="17"/>
      <c r="E61" s="20"/>
      <c r="F61" s="38"/>
      <c r="G61" s="40"/>
      <c r="H61" s="21"/>
    </row>
    <row r="62" spans="1:8" ht="16.8" x14ac:dyDescent="0.3">
      <c r="A62" s="22">
        <v>1</v>
      </c>
      <c r="B62" s="23" t="s">
        <v>68</v>
      </c>
      <c r="C62" s="22"/>
      <c r="D62" s="22" t="s">
        <v>7</v>
      </c>
      <c r="E62" s="24">
        <v>1</v>
      </c>
      <c r="F62" s="38">
        <v>9520000</v>
      </c>
      <c r="G62" s="40">
        <f t="shared" ref="G62:G65" si="3">F62*E62</f>
        <v>9520000</v>
      </c>
      <c r="H62" s="25"/>
    </row>
    <row r="63" spans="1:8" ht="16.8" x14ac:dyDescent="0.3">
      <c r="A63" s="22">
        <v>24</v>
      </c>
      <c r="B63" s="23" t="s">
        <v>69</v>
      </c>
      <c r="C63" s="22"/>
      <c r="D63" s="22" t="s">
        <v>6</v>
      </c>
      <c r="E63" s="24">
        <v>0.18</v>
      </c>
      <c r="F63" s="38">
        <v>489999.99999999994</v>
      </c>
      <c r="G63" s="40">
        <f t="shared" si="3"/>
        <v>88199.999999999985</v>
      </c>
      <c r="H63" s="25"/>
    </row>
    <row r="64" spans="1:8" ht="33.6" x14ac:dyDescent="0.3">
      <c r="A64" s="22">
        <v>25</v>
      </c>
      <c r="B64" s="23" t="s">
        <v>70</v>
      </c>
      <c r="C64" s="22"/>
      <c r="D64" s="22" t="s">
        <v>71</v>
      </c>
      <c r="E64" s="24">
        <v>2</v>
      </c>
      <c r="F64" s="38">
        <v>1190000</v>
      </c>
      <c r="G64" s="40">
        <f t="shared" si="3"/>
        <v>2380000</v>
      </c>
      <c r="H64" s="25"/>
    </row>
    <row r="65" spans="1:8" ht="33.6" x14ac:dyDescent="0.3">
      <c r="A65" s="22">
        <v>26</v>
      </c>
      <c r="B65" s="23" t="s">
        <v>72</v>
      </c>
      <c r="C65" s="22"/>
      <c r="D65" s="22" t="s">
        <v>8</v>
      </c>
      <c r="E65" s="24">
        <v>2</v>
      </c>
      <c r="F65" s="38">
        <v>475999.99999999994</v>
      </c>
      <c r="G65" s="40">
        <f t="shared" si="3"/>
        <v>951999.99999999988</v>
      </c>
      <c r="H65" s="25"/>
    </row>
    <row r="66" spans="1:8" ht="16.8" x14ac:dyDescent="0.3">
      <c r="A66" s="22"/>
      <c r="B66" s="23" t="s">
        <v>172</v>
      </c>
      <c r="C66" s="22"/>
      <c r="D66" s="22"/>
      <c r="E66" s="24"/>
      <c r="F66" s="38"/>
      <c r="G66" s="40">
        <v>8000000</v>
      </c>
      <c r="H66" s="38"/>
    </row>
    <row r="67" spans="1:8" ht="16.8" x14ac:dyDescent="0.3">
      <c r="A67" s="17" t="s">
        <v>73</v>
      </c>
      <c r="B67" s="20" t="s">
        <v>74</v>
      </c>
      <c r="C67" s="17"/>
      <c r="D67" s="17"/>
      <c r="E67" s="20"/>
      <c r="F67" s="38"/>
      <c r="G67" s="40"/>
      <c r="H67" s="21"/>
    </row>
    <row r="68" spans="1:8" ht="16.8" x14ac:dyDescent="0.3">
      <c r="A68" s="22"/>
      <c r="B68" s="23" t="s">
        <v>172</v>
      </c>
      <c r="C68" s="22"/>
      <c r="D68" s="22"/>
      <c r="E68" s="24"/>
      <c r="F68" s="38"/>
      <c r="G68" s="40">
        <v>8000000</v>
      </c>
      <c r="H68" s="38"/>
    </row>
    <row r="69" spans="1:8" ht="16.8" x14ac:dyDescent="0.3">
      <c r="A69" s="17" t="s">
        <v>75</v>
      </c>
      <c r="B69" s="20" t="s">
        <v>76</v>
      </c>
      <c r="C69" s="17"/>
      <c r="D69" s="17"/>
      <c r="E69" s="20"/>
      <c r="F69" s="38"/>
      <c r="G69" s="40"/>
      <c r="H69" s="21"/>
    </row>
    <row r="70" spans="1:8" ht="33.6" x14ac:dyDescent="0.3">
      <c r="A70" s="22">
        <v>2</v>
      </c>
      <c r="B70" s="23" t="s">
        <v>56</v>
      </c>
      <c r="C70" s="22" t="str">
        <f>C49</f>
        <v>DCP-R2ML - Hochiki/ USA</v>
      </c>
      <c r="D70" s="22" t="s">
        <v>7</v>
      </c>
      <c r="E70" s="24">
        <v>3</v>
      </c>
      <c r="F70" s="38">
        <v>2029999.9999999998</v>
      </c>
      <c r="G70" s="40">
        <f t="shared" ref="G70:G73" si="4">F70*E70</f>
        <v>6089999.9999999991</v>
      </c>
      <c r="H70" s="25"/>
    </row>
    <row r="71" spans="1:8" ht="33.6" x14ac:dyDescent="0.3">
      <c r="A71" s="22">
        <v>3</v>
      </c>
      <c r="B71" s="23" t="s">
        <v>57</v>
      </c>
      <c r="C71" s="22" t="s">
        <v>155</v>
      </c>
      <c r="D71" s="22" t="s">
        <v>7</v>
      </c>
      <c r="E71" s="24">
        <v>6</v>
      </c>
      <c r="F71" s="38">
        <v>1750000</v>
      </c>
      <c r="G71" s="40">
        <f t="shared" si="4"/>
        <v>10500000</v>
      </c>
      <c r="H71" s="25"/>
    </row>
    <row r="72" spans="1:8" ht="33.6" x14ac:dyDescent="0.3">
      <c r="A72" s="22">
        <v>4</v>
      </c>
      <c r="B72" s="23" t="s">
        <v>78</v>
      </c>
      <c r="C72" s="22" t="str">
        <f>C137</f>
        <v>KFDO-CS-EX2.51PI - Hochiki/ Singapore</v>
      </c>
      <c r="D72" s="22" t="s">
        <v>7</v>
      </c>
      <c r="E72" s="24">
        <v>2</v>
      </c>
      <c r="F72" s="38">
        <v>1330000</v>
      </c>
      <c r="G72" s="40">
        <f t="shared" si="4"/>
        <v>2660000</v>
      </c>
      <c r="H72" s="25"/>
    </row>
    <row r="73" spans="1:8" ht="33.6" x14ac:dyDescent="0.3">
      <c r="A73" s="22">
        <v>5</v>
      </c>
      <c r="B73" s="23" t="s">
        <v>29</v>
      </c>
      <c r="C73" s="22"/>
      <c r="D73" s="22" t="s">
        <v>9</v>
      </c>
      <c r="E73" s="24">
        <v>100</v>
      </c>
      <c r="F73" s="38">
        <v>77000</v>
      </c>
      <c r="G73" s="40">
        <f t="shared" si="4"/>
        <v>7700000</v>
      </c>
      <c r="H73" s="25"/>
    </row>
    <row r="74" spans="1:8" ht="16.8" x14ac:dyDescent="0.3">
      <c r="A74" s="22"/>
      <c r="B74" s="23" t="s">
        <v>172</v>
      </c>
      <c r="C74" s="22"/>
      <c r="D74" s="22"/>
      <c r="E74" s="24"/>
      <c r="F74" s="38"/>
      <c r="G74" s="40">
        <v>5000000</v>
      </c>
      <c r="H74" s="38"/>
    </row>
    <row r="75" spans="1:8" ht="16.8" x14ac:dyDescent="0.3">
      <c r="A75" s="17" t="s">
        <v>79</v>
      </c>
      <c r="B75" s="20" t="s">
        <v>80</v>
      </c>
      <c r="C75" s="17"/>
      <c r="D75" s="17"/>
      <c r="E75" s="20"/>
      <c r="F75" s="38"/>
      <c r="G75" s="40"/>
      <c r="H75" s="21"/>
    </row>
    <row r="76" spans="1:8" ht="33.6" x14ac:dyDescent="0.3">
      <c r="A76" s="22">
        <v>1</v>
      </c>
      <c r="B76" s="23" t="s">
        <v>11</v>
      </c>
      <c r="C76" s="22"/>
      <c r="D76" s="22" t="s">
        <v>4</v>
      </c>
      <c r="E76" s="24">
        <v>1</v>
      </c>
      <c r="F76" s="41">
        <v>0</v>
      </c>
      <c r="G76" s="40">
        <f t="shared" ref="G76:G117" si="5">F76*E76</f>
        <v>0</v>
      </c>
      <c r="H76" s="41"/>
    </row>
    <row r="77" spans="1:8" ht="16.8" x14ac:dyDescent="0.3">
      <c r="A77" s="22">
        <v>2</v>
      </c>
      <c r="B77" s="23" t="s">
        <v>81</v>
      </c>
      <c r="C77" s="22"/>
      <c r="D77" s="22" t="s">
        <v>4</v>
      </c>
      <c r="E77" s="24">
        <v>1</v>
      </c>
      <c r="F77" s="38">
        <v>0</v>
      </c>
      <c r="G77" s="40">
        <f t="shared" si="5"/>
        <v>0</v>
      </c>
      <c r="H77" s="25"/>
    </row>
    <row r="78" spans="1:8" ht="16.8" x14ac:dyDescent="0.3">
      <c r="A78" s="22">
        <v>3</v>
      </c>
      <c r="B78" s="23" t="s">
        <v>82</v>
      </c>
      <c r="C78" s="22"/>
      <c r="D78" s="22" t="s">
        <v>4</v>
      </c>
      <c r="E78" s="24">
        <v>1</v>
      </c>
      <c r="F78" s="38">
        <v>0</v>
      </c>
      <c r="G78" s="40">
        <f t="shared" si="5"/>
        <v>0</v>
      </c>
      <c r="H78" s="25"/>
    </row>
    <row r="79" spans="1:8" ht="16.8" x14ac:dyDescent="0.3">
      <c r="A79" s="22">
        <v>4</v>
      </c>
      <c r="B79" s="23" t="s">
        <v>83</v>
      </c>
      <c r="C79" s="22"/>
      <c r="D79" s="22" t="s">
        <v>4</v>
      </c>
      <c r="E79" s="24">
        <v>2</v>
      </c>
      <c r="F79" s="38">
        <v>0</v>
      </c>
      <c r="G79" s="40">
        <f t="shared" si="5"/>
        <v>0</v>
      </c>
      <c r="H79" s="25"/>
    </row>
    <row r="80" spans="1:8" ht="16.8" x14ac:dyDescent="0.3">
      <c r="A80" s="22">
        <v>5</v>
      </c>
      <c r="B80" s="23" t="s">
        <v>13</v>
      </c>
      <c r="C80" s="22"/>
      <c r="D80" s="22" t="s">
        <v>14</v>
      </c>
      <c r="E80" s="24">
        <v>1</v>
      </c>
      <c r="F80" s="38">
        <v>0</v>
      </c>
      <c r="G80" s="40">
        <f t="shared" si="5"/>
        <v>0</v>
      </c>
      <c r="H80" s="25"/>
    </row>
    <row r="81" spans="1:8" ht="16.8" x14ac:dyDescent="0.3">
      <c r="A81" s="22">
        <v>6</v>
      </c>
      <c r="B81" s="23" t="s">
        <v>12</v>
      </c>
      <c r="C81" s="22"/>
      <c r="D81" s="22" t="s">
        <v>14</v>
      </c>
      <c r="E81" s="24">
        <v>1</v>
      </c>
      <c r="F81" s="38">
        <v>0</v>
      </c>
      <c r="G81" s="40">
        <f t="shared" si="5"/>
        <v>0</v>
      </c>
      <c r="H81" s="25"/>
    </row>
    <row r="82" spans="1:8" ht="33.6" x14ac:dyDescent="0.3">
      <c r="A82" s="22">
        <v>7</v>
      </c>
      <c r="B82" s="23" t="s">
        <v>84</v>
      </c>
      <c r="C82" s="22"/>
      <c r="D82" s="22" t="s">
        <v>9</v>
      </c>
      <c r="E82" s="24">
        <v>50</v>
      </c>
      <c r="F82" s="38">
        <v>0</v>
      </c>
      <c r="G82" s="40">
        <f t="shared" si="5"/>
        <v>0</v>
      </c>
      <c r="H82" s="25"/>
    </row>
    <row r="83" spans="1:8" ht="33.6" x14ac:dyDescent="0.3">
      <c r="A83" s="22">
        <v>8</v>
      </c>
      <c r="B83" s="23" t="s">
        <v>85</v>
      </c>
      <c r="C83" s="22"/>
      <c r="D83" s="22" t="s">
        <v>9</v>
      </c>
      <c r="E83" s="24">
        <v>15</v>
      </c>
      <c r="F83" s="38">
        <v>0</v>
      </c>
      <c r="G83" s="40">
        <f t="shared" si="5"/>
        <v>0</v>
      </c>
      <c r="H83" s="25"/>
    </row>
    <row r="84" spans="1:8" ht="33.6" x14ac:dyDescent="0.3">
      <c r="A84" s="22">
        <v>9</v>
      </c>
      <c r="B84" s="23" t="s">
        <v>86</v>
      </c>
      <c r="C84" s="22"/>
      <c r="D84" s="22" t="s">
        <v>9</v>
      </c>
      <c r="E84" s="24">
        <v>15</v>
      </c>
      <c r="F84" s="38">
        <v>0</v>
      </c>
      <c r="G84" s="40">
        <f t="shared" si="5"/>
        <v>0</v>
      </c>
      <c r="H84" s="25"/>
    </row>
    <row r="85" spans="1:8" ht="16.8" x14ac:dyDescent="0.3">
      <c r="A85" s="22">
        <v>10</v>
      </c>
      <c r="B85" s="23" t="s">
        <v>87</v>
      </c>
      <c r="C85" s="22"/>
      <c r="D85" s="22" t="s">
        <v>9</v>
      </c>
      <c r="E85" s="24">
        <v>50</v>
      </c>
      <c r="F85" s="38">
        <v>0</v>
      </c>
      <c r="G85" s="40">
        <f t="shared" si="5"/>
        <v>0</v>
      </c>
      <c r="H85" s="25"/>
    </row>
    <row r="86" spans="1:8" ht="16.8" x14ac:dyDescent="0.3">
      <c r="A86" s="22">
        <v>11</v>
      </c>
      <c r="B86" s="23" t="s">
        <v>88</v>
      </c>
      <c r="C86" s="22"/>
      <c r="D86" s="22" t="s">
        <v>9</v>
      </c>
      <c r="E86" s="24">
        <v>20</v>
      </c>
      <c r="F86" s="38">
        <v>0</v>
      </c>
      <c r="G86" s="40">
        <f t="shared" si="5"/>
        <v>0</v>
      </c>
      <c r="H86" s="25"/>
    </row>
    <row r="87" spans="1:8" ht="33.6" x14ac:dyDescent="0.3">
      <c r="A87" s="22">
        <v>12</v>
      </c>
      <c r="B87" s="23" t="s">
        <v>89</v>
      </c>
      <c r="C87" s="22"/>
      <c r="D87" s="22" t="s">
        <v>9</v>
      </c>
      <c r="E87" s="24">
        <v>20</v>
      </c>
      <c r="F87" s="38">
        <v>0</v>
      </c>
      <c r="G87" s="40">
        <f t="shared" si="5"/>
        <v>0</v>
      </c>
      <c r="H87" s="25"/>
    </row>
    <row r="88" spans="1:8" ht="33.6" x14ac:dyDescent="0.3">
      <c r="A88" s="22">
        <v>13</v>
      </c>
      <c r="B88" s="23" t="s">
        <v>90</v>
      </c>
      <c r="C88" s="22"/>
      <c r="D88" s="22" t="s">
        <v>9</v>
      </c>
      <c r="E88" s="24">
        <v>30</v>
      </c>
      <c r="F88" s="38">
        <v>0</v>
      </c>
      <c r="G88" s="40">
        <f t="shared" si="5"/>
        <v>0</v>
      </c>
      <c r="H88" s="25"/>
    </row>
    <row r="89" spans="1:8" ht="33.6" x14ac:dyDescent="0.3">
      <c r="A89" s="22">
        <v>14</v>
      </c>
      <c r="B89" s="23" t="s">
        <v>91</v>
      </c>
      <c r="C89" s="22"/>
      <c r="D89" s="22" t="s">
        <v>8</v>
      </c>
      <c r="E89" s="24">
        <v>2</v>
      </c>
      <c r="F89" s="38">
        <v>0</v>
      </c>
      <c r="G89" s="40">
        <f t="shared" si="5"/>
        <v>0</v>
      </c>
      <c r="H89" s="25"/>
    </row>
    <row r="90" spans="1:8" ht="16.8" x14ac:dyDescent="0.3">
      <c r="A90" s="17" t="s">
        <v>92</v>
      </c>
      <c r="B90" s="20" t="s">
        <v>93</v>
      </c>
      <c r="C90" s="17"/>
      <c r="D90" s="17"/>
      <c r="E90" s="24"/>
      <c r="F90" s="38"/>
      <c r="G90" s="40"/>
      <c r="H90" s="21"/>
    </row>
    <row r="91" spans="1:8" ht="16.8" x14ac:dyDescent="0.3">
      <c r="A91" s="22">
        <v>1</v>
      </c>
      <c r="B91" s="23" t="s">
        <v>34</v>
      </c>
      <c r="C91" s="22"/>
      <c r="D91" s="22" t="s">
        <v>9</v>
      </c>
      <c r="E91" s="24">
        <v>20</v>
      </c>
      <c r="F91" s="41">
        <v>0</v>
      </c>
      <c r="G91" s="40">
        <f t="shared" si="5"/>
        <v>0</v>
      </c>
      <c r="H91" s="41"/>
    </row>
    <row r="92" spans="1:8" ht="16.8" x14ac:dyDescent="0.3">
      <c r="A92" s="22">
        <v>2</v>
      </c>
      <c r="B92" s="23" t="s">
        <v>94</v>
      </c>
      <c r="C92" s="22"/>
      <c r="D92" s="22" t="s">
        <v>9</v>
      </c>
      <c r="E92" s="24">
        <v>20</v>
      </c>
      <c r="F92" s="38">
        <v>0</v>
      </c>
      <c r="G92" s="40">
        <f t="shared" si="5"/>
        <v>0</v>
      </c>
      <c r="H92" s="25"/>
    </row>
    <row r="93" spans="1:8" ht="16.8" x14ac:dyDescent="0.3">
      <c r="A93" s="22">
        <v>3</v>
      </c>
      <c r="B93" s="23" t="s">
        <v>35</v>
      </c>
      <c r="C93" s="22"/>
      <c r="D93" s="22" t="s">
        <v>7</v>
      </c>
      <c r="E93" s="24">
        <v>3</v>
      </c>
      <c r="F93" s="38">
        <v>0</v>
      </c>
      <c r="G93" s="40">
        <f t="shared" si="5"/>
        <v>0</v>
      </c>
      <c r="H93" s="25"/>
    </row>
    <row r="94" spans="1:8" ht="16.8" x14ac:dyDescent="0.3">
      <c r="A94" s="22">
        <v>4</v>
      </c>
      <c r="B94" s="23" t="s">
        <v>95</v>
      </c>
      <c r="C94" s="22"/>
      <c r="D94" s="22" t="s">
        <v>7</v>
      </c>
      <c r="E94" s="24">
        <v>2</v>
      </c>
      <c r="F94" s="38">
        <v>0</v>
      </c>
      <c r="G94" s="40">
        <f t="shared" si="5"/>
        <v>0</v>
      </c>
      <c r="H94" s="25"/>
    </row>
    <row r="95" spans="1:8" ht="16.8" x14ac:dyDescent="0.3">
      <c r="A95" s="22">
        <v>5</v>
      </c>
      <c r="B95" s="23" t="s">
        <v>96</v>
      </c>
      <c r="C95" s="22"/>
      <c r="D95" s="22" t="s">
        <v>7</v>
      </c>
      <c r="E95" s="24">
        <v>3</v>
      </c>
      <c r="F95" s="38">
        <v>0</v>
      </c>
      <c r="G95" s="40">
        <f t="shared" si="5"/>
        <v>0</v>
      </c>
      <c r="H95" s="25"/>
    </row>
    <row r="96" spans="1:8" ht="16.8" x14ac:dyDescent="0.3">
      <c r="A96" s="22">
        <v>6</v>
      </c>
      <c r="B96" s="23" t="s">
        <v>97</v>
      </c>
      <c r="C96" s="22"/>
      <c r="D96" s="22" t="s">
        <v>7</v>
      </c>
      <c r="E96" s="24">
        <v>2</v>
      </c>
      <c r="F96" s="38">
        <v>0</v>
      </c>
      <c r="G96" s="40">
        <f t="shared" si="5"/>
        <v>0</v>
      </c>
      <c r="H96" s="25"/>
    </row>
    <row r="97" spans="1:8" ht="16.8" x14ac:dyDescent="0.3">
      <c r="A97" s="22">
        <v>7</v>
      </c>
      <c r="B97" s="23" t="s">
        <v>98</v>
      </c>
      <c r="C97" s="22"/>
      <c r="D97" s="22" t="s">
        <v>99</v>
      </c>
      <c r="E97" s="24">
        <v>2</v>
      </c>
      <c r="F97" s="38">
        <v>0</v>
      </c>
      <c r="G97" s="40">
        <f t="shared" si="5"/>
        <v>0</v>
      </c>
      <c r="H97" s="25"/>
    </row>
    <row r="98" spans="1:8" ht="16.8" x14ac:dyDescent="0.3">
      <c r="A98" s="17" t="s">
        <v>100</v>
      </c>
      <c r="B98" s="20" t="s">
        <v>101</v>
      </c>
      <c r="C98" s="17"/>
      <c r="D98" s="17"/>
      <c r="E98" s="24"/>
      <c r="F98" s="38"/>
      <c r="G98" s="40"/>
      <c r="H98" s="21"/>
    </row>
    <row r="99" spans="1:8" ht="16.8" x14ac:dyDescent="0.3">
      <c r="A99" s="17" t="s">
        <v>102</v>
      </c>
      <c r="B99" s="20" t="s">
        <v>103</v>
      </c>
      <c r="C99" s="17"/>
      <c r="D99" s="17"/>
      <c r="E99" s="24"/>
      <c r="F99" s="38"/>
      <c r="G99" s="40"/>
      <c r="H99" s="21"/>
    </row>
    <row r="100" spans="1:8" ht="16.8" x14ac:dyDescent="0.3">
      <c r="A100" s="22">
        <v>1</v>
      </c>
      <c r="B100" s="23" t="s">
        <v>77</v>
      </c>
      <c r="C100" s="22"/>
      <c r="D100" s="22" t="s">
        <v>7</v>
      </c>
      <c r="E100" s="24">
        <v>6</v>
      </c>
      <c r="F100" s="38">
        <v>0</v>
      </c>
      <c r="G100" s="40">
        <f t="shared" si="5"/>
        <v>0</v>
      </c>
      <c r="H100" s="25"/>
    </row>
    <row r="101" spans="1:8" ht="16.8" x14ac:dyDescent="0.3">
      <c r="A101" s="22">
        <v>2</v>
      </c>
      <c r="B101" s="23" t="s">
        <v>104</v>
      </c>
      <c r="C101" s="22"/>
      <c r="D101" s="22" t="s">
        <v>7</v>
      </c>
      <c r="E101" s="24">
        <v>8</v>
      </c>
      <c r="F101" s="38">
        <v>0</v>
      </c>
      <c r="G101" s="40">
        <f t="shared" si="5"/>
        <v>0</v>
      </c>
      <c r="H101" s="25"/>
    </row>
    <row r="102" spans="1:8" ht="16.8" x14ac:dyDescent="0.3">
      <c r="A102" s="22">
        <v>3</v>
      </c>
      <c r="B102" s="23" t="s">
        <v>105</v>
      </c>
      <c r="C102" s="22"/>
      <c r="D102" s="22" t="s">
        <v>7</v>
      </c>
      <c r="E102" s="24">
        <v>3</v>
      </c>
      <c r="F102" s="38">
        <v>0</v>
      </c>
      <c r="G102" s="40">
        <f t="shared" si="5"/>
        <v>0</v>
      </c>
      <c r="H102" s="25"/>
    </row>
    <row r="103" spans="1:8" ht="16.8" x14ac:dyDescent="0.3">
      <c r="A103" s="22">
        <v>4</v>
      </c>
      <c r="B103" s="23" t="s">
        <v>106</v>
      </c>
      <c r="C103" s="22" t="s">
        <v>165</v>
      </c>
      <c r="D103" s="22" t="s">
        <v>7</v>
      </c>
      <c r="E103" s="24">
        <v>1</v>
      </c>
      <c r="F103" s="38">
        <v>1092000</v>
      </c>
      <c r="G103" s="40">
        <f t="shared" si="5"/>
        <v>1092000</v>
      </c>
      <c r="H103" s="25"/>
    </row>
    <row r="104" spans="1:8" ht="16.8" x14ac:dyDescent="0.3">
      <c r="A104" s="22">
        <v>5</v>
      </c>
      <c r="B104" s="23" t="s">
        <v>63</v>
      </c>
      <c r="C104" s="22" t="s">
        <v>163</v>
      </c>
      <c r="D104" s="22" t="s">
        <v>7</v>
      </c>
      <c r="E104" s="24">
        <v>1</v>
      </c>
      <c r="F104" s="38">
        <v>2170000</v>
      </c>
      <c r="G104" s="40">
        <f t="shared" si="5"/>
        <v>2170000</v>
      </c>
      <c r="H104" s="25"/>
    </row>
    <row r="105" spans="1:8" ht="16.8" x14ac:dyDescent="0.3">
      <c r="A105" s="22">
        <v>6</v>
      </c>
      <c r="B105" s="23" t="s">
        <v>64</v>
      </c>
      <c r="C105" s="22"/>
      <c r="D105" s="22" t="s">
        <v>7</v>
      </c>
      <c r="E105" s="24">
        <v>1</v>
      </c>
      <c r="F105" s="38">
        <v>0</v>
      </c>
      <c r="G105" s="40">
        <f t="shared" si="5"/>
        <v>0</v>
      </c>
      <c r="H105" s="25"/>
    </row>
    <row r="106" spans="1:8" ht="33.6" x14ac:dyDescent="0.3">
      <c r="A106" s="22">
        <v>7</v>
      </c>
      <c r="B106" s="23" t="s">
        <v>56</v>
      </c>
      <c r="C106" s="22" t="str">
        <f>C70</f>
        <v>DCP-R2ML - Hochiki/ USA</v>
      </c>
      <c r="D106" s="22" t="s">
        <v>7</v>
      </c>
      <c r="E106" s="24">
        <v>1</v>
      </c>
      <c r="F106" s="38">
        <v>2029999.9999999998</v>
      </c>
      <c r="G106" s="40">
        <f t="shared" si="5"/>
        <v>2029999.9999999998</v>
      </c>
      <c r="H106" s="25"/>
    </row>
    <row r="107" spans="1:8" ht="16.8" x14ac:dyDescent="0.3">
      <c r="A107" s="22">
        <v>8</v>
      </c>
      <c r="B107" s="23" t="s">
        <v>58</v>
      </c>
      <c r="C107" s="22" t="str">
        <f>C128</f>
        <v>DCP-SCI - Hochiki/ USA</v>
      </c>
      <c r="D107" s="22" t="s">
        <v>7</v>
      </c>
      <c r="E107" s="24">
        <v>1</v>
      </c>
      <c r="F107" s="38">
        <v>1330000</v>
      </c>
      <c r="G107" s="40">
        <f t="shared" si="5"/>
        <v>1330000</v>
      </c>
      <c r="H107" s="25"/>
    </row>
    <row r="108" spans="1:8" ht="33.6" x14ac:dyDescent="0.3">
      <c r="A108" s="22">
        <v>9</v>
      </c>
      <c r="B108" s="23" t="s">
        <v>29</v>
      </c>
      <c r="C108" s="22"/>
      <c r="D108" s="22" t="s">
        <v>9</v>
      </c>
      <c r="E108" s="24">
        <v>300</v>
      </c>
      <c r="F108" s="38">
        <v>0</v>
      </c>
      <c r="G108" s="40">
        <f t="shared" si="5"/>
        <v>0</v>
      </c>
      <c r="H108" s="25"/>
    </row>
    <row r="109" spans="1:8" ht="16.8" x14ac:dyDescent="0.3">
      <c r="A109" s="22">
        <v>10</v>
      </c>
      <c r="B109" s="23" t="s">
        <v>107</v>
      </c>
      <c r="C109" s="22"/>
      <c r="D109" s="22" t="s">
        <v>6</v>
      </c>
      <c r="E109" s="24">
        <v>1</v>
      </c>
      <c r="F109" s="38">
        <v>0</v>
      </c>
      <c r="G109" s="40">
        <f t="shared" si="5"/>
        <v>0</v>
      </c>
      <c r="H109" s="25"/>
    </row>
    <row r="110" spans="1:8" ht="16.8" x14ac:dyDescent="0.3">
      <c r="A110" s="22">
        <v>11</v>
      </c>
      <c r="B110" s="23" t="s">
        <v>108</v>
      </c>
      <c r="C110" s="22"/>
      <c r="D110" s="22" t="s">
        <v>6</v>
      </c>
      <c r="E110" s="24">
        <v>0.2</v>
      </c>
      <c r="F110" s="38">
        <v>0</v>
      </c>
      <c r="G110" s="40">
        <f t="shared" si="5"/>
        <v>0</v>
      </c>
      <c r="H110" s="25"/>
    </row>
    <row r="111" spans="1:8" ht="16.8" x14ac:dyDescent="0.3">
      <c r="A111" s="22">
        <v>12</v>
      </c>
      <c r="B111" s="23" t="s">
        <v>109</v>
      </c>
      <c r="C111" s="22"/>
      <c r="D111" s="22" t="s">
        <v>7</v>
      </c>
      <c r="E111" s="24">
        <v>100</v>
      </c>
      <c r="F111" s="38">
        <v>0</v>
      </c>
      <c r="G111" s="40">
        <f t="shared" si="5"/>
        <v>0</v>
      </c>
      <c r="H111" s="25"/>
    </row>
    <row r="112" spans="1:8" ht="16.8" x14ac:dyDescent="0.3">
      <c r="A112" s="22">
        <v>13</v>
      </c>
      <c r="B112" s="23" t="s">
        <v>110</v>
      </c>
      <c r="C112" s="22"/>
      <c r="D112" s="22" t="s">
        <v>14</v>
      </c>
      <c r="E112" s="24">
        <v>20</v>
      </c>
      <c r="F112" s="38">
        <v>77000</v>
      </c>
      <c r="G112" s="40">
        <f t="shared" si="5"/>
        <v>1540000</v>
      </c>
      <c r="H112" s="25"/>
    </row>
    <row r="113" spans="1:8" ht="16.8" x14ac:dyDescent="0.3">
      <c r="A113" s="22">
        <v>14</v>
      </c>
      <c r="B113" s="23" t="s">
        <v>111</v>
      </c>
      <c r="C113" s="22"/>
      <c r="D113" s="22" t="s">
        <v>14</v>
      </c>
      <c r="E113" s="24">
        <v>1</v>
      </c>
      <c r="F113" s="38">
        <v>0</v>
      </c>
      <c r="G113" s="40">
        <f t="shared" si="5"/>
        <v>0</v>
      </c>
      <c r="H113" s="25"/>
    </row>
    <row r="114" spans="1:8" ht="33.6" x14ac:dyDescent="0.3">
      <c r="A114" s="22">
        <v>15</v>
      </c>
      <c r="B114" s="23" t="s">
        <v>70</v>
      </c>
      <c r="C114" s="22"/>
      <c r="D114" s="22" t="s">
        <v>71</v>
      </c>
      <c r="E114" s="24">
        <v>13</v>
      </c>
      <c r="F114" s="38">
        <v>1190000</v>
      </c>
      <c r="G114" s="40">
        <f t="shared" si="5"/>
        <v>15470000</v>
      </c>
      <c r="H114" s="25"/>
    </row>
    <row r="115" spans="1:8" ht="16.8" x14ac:dyDescent="0.3">
      <c r="A115" s="22">
        <v>16</v>
      </c>
      <c r="B115" s="23" t="s">
        <v>112</v>
      </c>
      <c r="C115" s="22"/>
      <c r="D115" s="22" t="s">
        <v>8</v>
      </c>
      <c r="E115" s="24">
        <v>4</v>
      </c>
      <c r="F115" s="26">
        <v>475999.99999999994</v>
      </c>
      <c r="G115" s="40">
        <f t="shared" si="5"/>
        <v>1903999.9999999998</v>
      </c>
      <c r="H115" s="25"/>
    </row>
    <row r="116" spans="1:8" ht="16.8" x14ac:dyDescent="0.3">
      <c r="A116" s="22">
        <v>17</v>
      </c>
      <c r="B116" s="23" t="s">
        <v>113</v>
      </c>
      <c r="C116" s="22"/>
      <c r="D116" s="22" t="s">
        <v>114</v>
      </c>
      <c r="E116" s="24">
        <v>2</v>
      </c>
      <c r="F116" s="38">
        <v>1190000</v>
      </c>
      <c r="G116" s="40">
        <f t="shared" si="5"/>
        <v>2380000</v>
      </c>
      <c r="H116" s="25"/>
    </row>
    <row r="117" spans="1:8" ht="16.8" x14ac:dyDescent="0.3">
      <c r="A117" s="22">
        <v>18</v>
      </c>
      <c r="B117" s="23" t="s">
        <v>115</v>
      </c>
      <c r="C117" s="22"/>
      <c r="D117" s="22" t="s">
        <v>114</v>
      </c>
      <c r="E117" s="24">
        <v>2</v>
      </c>
      <c r="F117" s="38">
        <v>630000</v>
      </c>
      <c r="G117" s="40">
        <f t="shared" si="5"/>
        <v>1260000</v>
      </c>
      <c r="H117" s="25"/>
    </row>
    <row r="118" spans="1:8" ht="16.8" x14ac:dyDescent="0.3">
      <c r="A118" s="22"/>
      <c r="B118" s="23" t="s">
        <v>172</v>
      </c>
      <c r="C118" s="22"/>
      <c r="D118" s="22"/>
      <c r="E118" s="24"/>
      <c r="F118" s="38"/>
      <c r="G118" s="40">
        <v>9000000</v>
      </c>
      <c r="H118" s="38"/>
    </row>
    <row r="119" spans="1:8" ht="16.8" x14ac:dyDescent="0.3">
      <c r="A119" s="17" t="s">
        <v>116</v>
      </c>
      <c r="B119" s="20" t="s">
        <v>117</v>
      </c>
      <c r="C119" s="17"/>
      <c r="D119" s="17"/>
      <c r="E119" s="20"/>
      <c r="F119" s="38">
        <v>0</v>
      </c>
      <c r="G119" s="40">
        <f t="shared" ref="G119:G129" si="6">F119*E119</f>
        <v>0</v>
      </c>
      <c r="H119" s="21"/>
    </row>
    <row r="120" spans="1:8" ht="16.8" x14ac:dyDescent="0.3">
      <c r="A120" s="22"/>
      <c r="B120" s="42" t="s">
        <v>156</v>
      </c>
      <c r="C120" s="22" t="s">
        <v>159</v>
      </c>
      <c r="D120" s="22"/>
      <c r="E120" s="24">
        <v>2</v>
      </c>
      <c r="F120" s="38">
        <v>1680000</v>
      </c>
      <c r="G120" s="40">
        <f t="shared" si="6"/>
        <v>3360000</v>
      </c>
      <c r="H120" s="25"/>
    </row>
    <row r="121" spans="1:8" ht="33.6" x14ac:dyDescent="0.3">
      <c r="A121" s="22"/>
      <c r="B121" s="42" t="s">
        <v>157</v>
      </c>
      <c r="C121" s="22" t="s">
        <v>161</v>
      </c>
      <c r="D121" s="22"/>
      <c r="E121" s="24">
        <v>1</v>
      </c>
      <c r="F121" s="38">
        <v>14699999.999999998</v>
      </c>
      <c r="G121" s="40">
        <f t="shared" si="6"/>
        <v>14699999.999999998</v>
      </c>
      <c r="H121" s="25"/>
    </row>
    <row r="122" spans="1:8" ht="16.8" x14ac:dyDescent="0.3">
      <c r="A122" s="22"/>
      <c r="B122" s="42" t="s">
        <v>158</v>
      </c>
      <c r="C122" s="22" t="s">
        <v>160</v>
      </c>
      <c r="D122" s="22"/>
      <c r="E122" s="24">
        <v>2</v>
      </c>
      <c r="F122" s="38">
        <v>840000</v>
      </c>
      <c r="G122" s="40">
        <f t="shared" si="6"/>
        <v>1680000</v>
      </c>
      <c r="H122" s="25"/>
    </row>
    <row r="123" spans="1:8" ht="16.8" x14ac:dyDescent="0.3">
      <c r="A123" s="22">
        <v>2</v>
      </c>
      <c r="B123" s="23" t="s">
        <v>118</v>
      </c>
      <c r="C123" s="22"/>
      <c r="D123" s="22" t="s">
        <v>71</v>
      </c>
      <c r="E123" s="24">
        <v>2</v>
      </c>
      <c r="F123" s="38">
        <v>1190000</v>
      </c>
      <c r="G123" s="40">
        <f t="shared" si="6"/>
        <v>2380000</v>
      </c>
      <c r="H123" s="25"/>
    </row>
    <row r="124" spans="1:8" ht="16.8" x14ac:dyDescent="0.3">
      <c r="A124" s="22">
        <v>3</v>
      </c>
      <c r="B124" s="23" t="s">
        <v>119</v>
      </c>
      <c r="C124" s="22"/>
      <c r="D124" s="22" t="s">
        <v>7</v>
      </c>
      <c r="E124" s="24">
        <v>1</v>
      </c>
      <c r="F124" s="38">
        <v>0</v>
      </c>
      <c r="G124" s="40">
        <f t="shared" si="6"/>
        <v>0</v>
      </c>
      <c r="H124" s="25"/>
    </row>
    <row r="125" spans="1:8" ht="16.8" x14ac:dyDescent="0.3">
      <c r="A125" s="22">
        <v>4</v>
      </c>
      <c r="B125" s="23" t="s">
        <v>63</v>
      </c>
      <c r="C125" s="22" t="str">
        <f>C57</f>
        <v>DCP-AMS</v>
      </c>
      <c r="D125" s="22" t="s">
        <v>7</v>
      </c>
      <c r="E125" s="24">
        <v>1</v>
      </c>
      <c r="F125" s="38">
        <v>2170000</v>
      </c>
      <c r="G125" s="40">
        <f t="shared" si="6"/>
        <v>2170000</v>
      </c>
      <c r="H125" s="25"/>
    </row>
    <row r="126" spans="1:8" ht="16.8" x14ac:dyDescent="0.3">
      <c r="A126" s="22">
        <v>5</v>
      </c>
      <c r="B126" s="23" t="s">
        <v>64</v>
      </c>
      <c r="C126" s="22" t="str">
        <f>C58</f>
        <v>FBB-150K</v>
      </c>
      <c r="D126" s="22" t="s">
        <v>7</v>
      </c>
      <c r="E126" s="24">
        <v>1</v>
      </c>
      <c r="F126" s="38">
        <v>588000</v>
      </c>
      <c r="G126" s="40">
        <f t="shared" si="6"/>
        <v>588000</v>
      </c>
      <c r="H126" s="25"/>
    </row>
    <row r="127" spans="1:8" ht="33.6" x14ac:dyDescent="0.3">
      <c r="A127" s="22">
        <v>6</v>
      </c>
      <c r="B127" s="23" t="s">
        <v>56</v>
      </c>
      <c r="C127" s="22" t="str">
        <f>C106</f>
        <v>DCP-R2ML - Hochiki/ USA</v>
      </c>
      <c r="D127" s="22" t="s">
        <v>7</v>
      </c>
      <c r="E127" s="24">
        <v>1</v>
      </c>
      <c r="F127" s="38">
        <v>2029999.9999999998</v>
      </c>
      <c r="G127" s="40">
        <f t="shared" si="6"/>
        <v>2029999.9999999998</v>
      </c>
      <c r="H127" s="25"/>
    </row>
    <row r="128" spans="1:8" ht="16.8" x14ac:dyDescent="0.3">
      <c r="A128" s="22">
        <v>7</v>
      </c>
      <c r="B128" s="23" t="s">
        <v>58</v>
      </c>
      <c r="C128" s="22" t="str">
        <f>C148</f>
        <v>DCP-SCI - Hochiki/ USA</v>
      </c>
      <c r="D128" s="22" t="s">
        <v>7</v>
      </c>
      <c r="E128" s="24">
        <v>1</v>
      </c>
      <c r="F128" s="38">
        <v>1330000</v>
      </c>
      <c r="G128" s="40">
        <f t="shared" si="6"/>
        <v>1330000</v>
      </c>
      <c r="H128" s="25"/>
    </row>
    <row r="129" spans="1:8" ht="16.8" x14ac:dyDescent="0.3">
      <c r="A129" s="22">
        <v>9</v>
      </c>
      <c r="B129" s="23" t="s">
        <v>107</v>
      </c>
      <c r="C129" s="22"/>
      <c r="D129" s="22" t="s">
        <v>6</v>
      </c>
      <c r="E129" s="24">
        <v>0.03</v>
      </c>
      <c r="F129" s="38">
        <v>3080000</v>
      </c>
      <c r="G129" s="40">
        <f t="shared" si="6"/>
        <v>92400</v>
      </c>
      <c r="H129" s="25"/>
    </row>
    <row r="130" spans="1:8" ht="16.8" x14ac:dyDescent="0.3">
      <c r="A130" s="22"/>
      <c r="B130" s="23" t="s">
        <v>172</v>
      </c>
      <c r="C130" s="22"/>
      <c r="D130" s="22"/>
      <c r="E130" s="24"/>
      <c r="F130" s="38"/>
      <c r="G130" s="40">
        <v>9000000</v>
      </c>
      <c r="H130" s="38"/>
    </row>
    <row r="131" spans="1:8" ht="16.8" x14ac:dyDescent="0.3">
      <c r="A131" s="17" t="s">
        <v>120</v>
      </c>
      <c r="B131" s="20" t="s">
        <v>121</v>
      </c>
      <c r="C131" s="17"/>
      <c r="D131" s="17"/>
      <c r="E131" s="20"/>
      <c r="F131" s="38"/>
      <c r="G131" s="40"/>
      <c r="H131" s="21"/>
    </row>
    <row r="132" spans="1:8" ht="16.8" x14ac:dyDescent="0.3">
      <c r="A132" s="22">
        <v>2</v>
      </c>
      <c r="B132" s="23" t="s">
        <v>119</v>
      </c>
      <c r="C132" s="22" t="s">
        <v>166</v>
      </c>
      <c r="D132" s="22" t="s">
        <v>7</v>
      </c>
      <c r="E132" s="24">
        <v>3</v>
      </c>
      <c r="F132" s="38">
        <v>1750000</v>
      </c>
      <c r="G132" s="40">
        <f t="shared" ref="G132:G142" si="7">F132*E132</f>
        <v>5250000</v>
      </c>
      <c r="H132" s="25"/>
    </row>
    <row r="133" spans="1:8" ht="16.8" x14ac:dyDescent="0.3">
      <c r="A133" s="22">
        <v>3</v>
      </c>
      <c r="B133" s="23" t="s">
        <v>122</v>
      </c>
      <c r="C133" s="22" t="s">
        <v>165</v>
      </c>
      <c r="D133" s="22" t="s">
        <v>7</v>
      </c>
      <c r="E133" s="24">
        <v>3</v>
      </c>
      <c r="F133" s="38">
        <v>1092000</v>
      </c>
      <c r="G133" s="40">
        <f t="shared" si="7"/>
        <v>3276000</v>
      </c>
      <c r="H133" s="25"/>
    </row>
    <row r="134" spans="1:8" ht="16.8" x14ac:dyDescent="0.3">
      <c r="A134" s="22">
        <v>4</v>
      </c>
      <c r="B134" s="23" t="s">
        <v>64</v>
      </c>
      <c r="C134" s="22" t="s">
        <v>164</v>
      </c>
      <c r="D134" s="22" t="s">
        <v>7</v>
      </c>
      <c r="E134" s="24">
        <v>3</v>
      </c>
      <c r="F134" s="38">
        <v>588000</v>
      </c>
      <c r="G134" s="40">
        <f t="shared" si="7"/>
        <v>1764000</v>
      </c>
      <c r="H134" s="25"/>
    </row>
    <row r="135" spans="1:8" ht="33.6" x14ac:dyDescent="0.3">
      <c r="A135" s="22">
        <v>6</v>
      </c>
      <c r="B135" s="23" t="s">
        <v>123</v>
      </c>
      <c r="C135" s="22" t="s">
        <v>153</v>
      </c>
      <c r="D135" s="22" t="s">
        <v>7</v>
      </c>
      <c r="E135" s="24">
        <v>9</v>
      </c>
      <c r="F135" s="38">
        <v>1007999.9999999999</v>
      </c>
      <c r="G135" s="40">
        <f t="shared" si="7"/>
        <v>9071999.9999999981</v>
      </c>
      <c r="H135" s="25"/>
    </row>
    <row r="136" spans="1:8" ht="33.6" x14ac:dyDescent="0.3">
      <c r="A136" s="22">
        <v>7</v>
      </c>
      <c r="B136" s="23" t="s">
        <v>124</v>
      </c>
      <c r="C136" s="22" t="s">
        <v>154</v>
      </c>
      <c r="D136" s="22" t="s">
        <v>7</v>
      </c>
      <c r="E136" s="24">
        <v>4</v>
      </c>
      <c r="F136" s="38">
        <v>2029999.9999999998</v>
      </c>
      <c r="G136" s="40">
        <f t="shared" si="7"/>
        <v>8119999.9999999991</v>
      </c>
      <c r="H136" s="25"/>
    </row>
    <row r="137" spans="1:8" ht="33.6" x14ac:dyDescent="0.3">
      <c r="A137" s="22">
        <v>8</v>
      </c>
      <c r="B137" s="23" t="s">
        <v>78</v>
      </c>
      <c r="C137" s="22" t="s">
        <v>167</v>
      </c>
      <c r="D137" s="22" t="s">
        <v>7</v>
      </c>
      <c r="E137" s="24">
        <v>3</v>
      </c>
      <c r="F137" s="38">
        <v>1330000</v>
      </c>
      <c r="G137" s="40">
        <f t="shared" si="7"/>
        <v>3990000</v>
      </c>
      <c r="H137" s="25"/>
    </row>
    <row r="138" spans="1:8" ht="16.8" x14ac:dyDescent="0.3">
      <c r="A138" s="22">
        <v>9</v>
      </c>
      <c r="B138" s="23" t="s">
        <v>125</v>
      </c>
      <c r="C138" s="22"/>
      <c r="D138" s="22" t="s">
        <v>4</v>
      </c>
      <c r="E138" s="24">
        <v>2</v>
      </c>
      <c r="F138" s="38">
        <v>336000</v>
      </c>
      <c r="G138" s="40">
        <f t="shared" si="7"/>
        <v>672000</v>
      </c>
      <c r="H138" s="25"/>
    </row>
    <row r="139" spans="1:8" ht="33.6" x14ac:dyDescent="0.3">
      <c r="A139" s="22">
        <v>10</v>
      </c>
      <c r="B139" s="23" t="s">
        <v>126</v>
      </c>
      <c r="C139" s="22"/>
      <c r="D139" s="22" t="s">
        <v>7</v>
      </c>
      <c r="E139" s="24">
        <v>1</v>
      </c>
      <c r="F139" s="38">
        <v>0</v>
      </c>
      <c r="G139" s="40">
        <f t="shared" si="7"/>
        <v>0</v>
      </c>
      <c r="H139" s="25"/>
    </row>
    <row r="140" spans="1:8" ht="16.8" x14ac:dyDescent="0.3">
      <c r="A140" s="22">
        <v>11</v>
      </c>
      <c r="B140" s="23" t="s">
        <v>127</v>
      </c>
      <c r="C140" s="22"/>
      <c r="D140" s="22" t="s">
        <v>2</v>
      </c>
      <c r="E140" s="24">
        <v>1</v>
      </c>
      <c r="F140" s="38">
        <v>4900000</v>
      </c>
      <c r="G140" s="40">
        <f t="shared" si="7"/>
        <v>4900000</v>
      </c>
      <c r="H140" s="25"/>
    </row>
    <row r="141" spans="1:8" ht="16.8" x14ac:dyDescent="0.3">
      <c r="A141" s="22">
        <v>12</v>
      </c>
      <c r="B141" s="23" t="s">
        <v>128</v>
      </c>
      <c r="C141" s="22"/>
      <c r="D141" s="22" t="s">
        <v>7</v>
      </c>
      <c r="E141" s="24">
        <v>4</v>
      </c>
      <c r="F141" s="38">
        <v>0</v>
      </c>
      <c r="G141" s="40">
        <f t="shared" si="7"/>
        <v>0</v>
      </c>
      <c r="H141" s="25"/>
    </row>
    <row r="142" spans="1:8" ht="16.8" x14ac:dyDescent="0.3">
      <c r="A142" s="22">
        <v>13</v>
      </c>
      <c r="B142" s="23" t="s">
        <v>129</v>
      </c>
      <c r="C142" s="22"/>
      <c r="D142" s="22" t="s">
        <v>7</v>
      </c>
      <c r="E142" s="24">
        <v>4</v>
      </c>
      <c r="F142" s="38">
        <v>0</v>
      </c>
      <c r="G142" s="40">
        <f t="shared" si="7"/>
        <v>0</v>
      </c>
      <c r="H142" s="25"/>
    </row>
    <row r="143" spans="1:8" ht="16.8" x14ac:dyDescent="0.3">
      <c r="A143" s="22"/>
      <c r="B143" s="23" t="s">
        <v>172</v>
      </c>
      <c r="C143" s="22"/>
      <c r="D143" s="22"/>
      <c r="E143" s="24"/>
      <c r="F143" s="38"/>
      <c r="G143" s="40">
        <v>7500000</v>
      </c>
      <c r="H143" s="38"/>
    </row>
    <row r="144" spans="1:8" ht="16.8" x14ac:dyDescent="0.3">
      <c r="A144" s="17" t="s">
        <v>130</v>
      </c>
      <c r="B144" s="20" t="s">
        <v>131</v>
      </c>
      <c r="C144" s="17"/>
      <c r="D144" s="17"/>
      <c r="E144" s="20"/>
      <c r="F144" s="38"/>
      <c r="G144" s="40"/>
      <c r="H144" s="21"/>
    </row>
    <row r="145" spans="1:8" ht="16.8" x14ac:dyDescent="0.3">
      <c r="A145" s="22">
        <v>2</v>
      </c>
      <c r="B145" s="23" t="s">
        <v>106</v>
      </c>
      <c r="C145" s="22"/>
      <c r="D145" s="22" t="s">
        <v>7</v>
      </c>
      <c r="E145" s="24">
        <v>1</v>
      </c>
      <c r="F145" s="38">
        <v>0</v>
      </c>
      <c r="G145" s="40">
        <f t="shared" ref="G145:G151" si="8">F145*E145</f>
        <v>0</v>
      </c>
      <c r="H145" s="25"/>
    </row>
    <row r="146" spans="1:8" ht="33.6" x14ac:dyDescent="0.3">
      <c r="A146" s="22">
        <v>4</v>
      </c>
      <c r="B146" s="23" t="s">
        <v>56</v>
      </c>
      <c r="C146" s="22" t="str">
        <f>C136</f>
        <v>DCP-R2ML - Hochiki/ USA</v>
      </c>
      <c r="D146" s="22" t="s">
        <v>7</v>
      </c>
      <c r="E146" s="24">
        <v>1</v>
      </c>
      <c r="F146" s="38">
        <v>2029999.9999999998</v>
      </c>
      <c r="G146" s="40">
        <f t="shared" si="8"/>
        <v>2029999.9999999998</v>
      </c>
      <c r="H146" s="25"/>
    </row>
    <row r="147" spans="1:8" ht="33.6" x14ac:dyDescent="0.3">
      <c r="A147" s="22">
        <v>5</v>
      </c>
      <c r="B147" s="23" t="s">
        <v>57</v>
      </c>
      <c r="C147" s="22" t="s">
        <v>155</v>
      </c>
      <c r="D147" s="22" t="s">
        <v>7</v>
      </c>
      <c r="E147" s="24">
        <v>1</v>
      </c>
      <c r="F147" s="38">
        <v>1750000</v>
      </c>
      <c r="G147" s="40">
        <f t="shared" si="8"/>
        <v>1750000</v>
      </c>
      <c r="H147" s="25"/>
    </row>
    <row r="148" spans="1:8" ht="16.8" x14ac:dyDescent="0.3">
      <c r="A148" s="22">
        <v>6</v>
      </c>
      <c r="B148" s="23" t="s">
        <v>58</v>
      </c>
      <c r="C148" s="22" t="s">
        <v>168</v>
      </c>
      <c r="D148" s="22" t="s">
        <v>7</v>
      </c>
      <c r="E148" s="24">
        <v>1</v>
      </c>
      <c r="F148" s="38">
        <v>1330000</v>
      </c>
      <c r="G148" s="40">
        <f t="shared" si="8"/>
        <v>1330000</v>
      </c>
      <c r="H148" s="25"/>
    </row>
    <row r="149" spans="1:8" ht="16.8" x14ac:dyDescent="0.3">
      <c r="A149" s="22">
        <v>11</v>
      </c>
      <c r="B149" s="23" t="s">
        <v>132</v>
      </c>
      <c r="C149" s="22"/>
      <c r="D149" s="22" t="s">
        <v>14</v>
      </c>
      <c r="E149" s="24">
        <v>1</v>
      </c>
      <c r="F149" s="38">
        <v>0</v>
      </c>
      <c r="G149" s="40">
        <f t="shared" si="8"/>
        <v>0</v>
      </c>
      <c r="H149" s="25"/>
    </row>
    <row r="150" spans="1:8" ht="16.8" x14ac:dyDescent="0.3">
      <c r="A150" s="22">
        <v>12</v>
      </c>
      <c r="B150" s="23" t="s">
        <v>111</v>
      </c>
      <c r="C150" s="22"/>
      <c r="D150" s="22" t="s">
        <v>14</v>
      </c>
      <c r="E150" s="24">
        <v>1</v>
      </c>
      <c r="F150" s="38">
        <v>0</v>
      </c>
      <c r="G150" s="40">
        <f t="shared" si="8"/>
        <v>0</v>
      </c>
      <c r="H150" s="25"/>
    </row>
    <row r="151" spans="1:8" ht="16.8" x14ac:dyDescent="0.3">
      <c r="A151" s="22">
        <v>13</v>
      </c>
      <c r="B151" s="23" t="s">
        <v>133</v>
      </c>
      <c r="C151" s="22"/>
      <c r="D151" s="22" t="s">
        <v>71</v>
      </c>
      <c r="E151" s="24">
        <v>4</v>
      </c>
      <c r="F151" s="38">
        <v>1190000</v>
      </c>
      <c r="G151" s="48">
        <f t="shared" si="8"/>
        <v>4760000</v>
      </c>
      <c r="H151" s="25"/>
    </row>
    <row r="152" spans="1:8" ht="16.8" x14ac:dyDescent="0.3">
      <c r="A152" s="22"/>
      <c r="B152" s="23" t="s">
        <v>172</v>
      </c>
      <c r="C152" s="22"/>
      <c r="D152" s="22"/>
      <c r="E152" s="24"/>
      <c r="F152" s="38"/>
      <c r="G152" s="48">
        <v>6000000</v>
      </c>
      <c r="H152" s="38"/>
    </row>
    <row r="153" spans="1:8" ht="16.8" x14ac:dyDescent="0.3">
      <c r="A153" s="17" t="s">
        <v>134</v>
      </c>
      <c r="B153" s="20" t="s">
        <v>135</v>
      </c>
      <c r="C153" s="17"/>
      <c r="D153" s="17"/>
      <c r="E153" s="20"/>
      <c r="F153" s="38"/>
      <c r="G153" s="48"/>
      <c r="H153" s="21"/>
    </row>
    <row r="154" spans="1:8" ht="16.8" x14ac:dyDescent="0.3">
      <c r="A154" s="22"/>
      <c r="B154" s="23" t="s">
        <v>171</v>
      </c>
      <c r="C154" s="22"/>
      <c r="D154" s="22"/>
      <c r="E154" s="24">
        <v>1</v>
      </c>
      <c r="F154" s="38">
        <v>5740000</v>
      </c>
      <c r="G154" s="48">
        <f t="shared" ref="G154" si="9">F154*E154</f>
        <v>5740000</v>
      </c>
      <c r="H154" s="25"/>
    </row>
    <row r="155" spans="1:8" ht="16.8" x14ac:dyDescent="0.3">
      <c r="A155" s="27"/>
      <c r="B155" s="28" t="s">
        <v>173</v>
      </c>
      <c r="C155" s="27"/>
      <c r="D155" s="27"/>
      <c r="E155" s="29"/>
      <c r="F155" s="43"/>
      <c r="G155" s="49">
        <v>8500000</v>
      </c>
      <c r="H155" s="43"/>
    </row>
    <row r="156" spans="1:8" ht="16.8" x14ac:dyDescent="0.3">
      <c r="A156" s="30"/>
      <c r="B156" s="44" t="s">
        <v>182</v>
      </c>
      <c r="C156" s="30"/>
      <c r="D156" s="30"/>
      <c r="E156" s="39"/>
      <c r="F156" s="45"/>
      <c r="G156" s="50">
        <f>SUM(G11:G154)</f>
        <v>431479520</v>
      </c>
      <c r="H156" s="45"/>
    </row>
    <row r="157" spans="1:8" ht="16.8" x14ac:dyDescent="0.3">
      <c r="A157" s="31" t="s">
        <v>177</v>
      </c>
      <c r="B157" s="31"/>
      <c r="C157" s="32"/>
      <c r="D157" s="32"/>
      <c r="E157" s="46"/>
      <c r="F157" s="47"/>
      <c r="G157" s="51"/>
      <c r="H157" s="47"/>
    </row>
    <row r="158" spans="1:8" ht="16.8" x14ac:dyDescent="0.3">
      <c r="A158" s="32">
        <v>1</v>
      </c>
      <c r="B158" s="1" t="s">
        <v>178</v>
      </c>
      <c r="C158" s="32"/>
      <c r="D158" s="32"/>
      <c r="E158" s="46"/>
      <c r="F158" s="47"/>
      <c r="G158" s="51"/>
      <c r="H158" s="47"/>
    </row>
    <row r="159" spans="1:8" ht="16.8" x14ac:dyDescent="0.3">
      <c r="A159" s="32">
        <v>2</v>
      </c>
      <c r="B159" s="45" t="s">
        <v>179</v>
      </c>
      <c r="C159" s="32"/>
      <c r="D159" s="32"/>
      <c r="E159" s="46"/>
      <c r="F159" s="47"/>
      <c r="G159" s="51"/>
      <c r="H159" s="47"/>
    </row>
    <row r="160" spans="1:8" ht="16.8" x14ac:dyDescent="0.3">
      <c r="A160" s="32">
        <v>3</v>
      </c>
      <c r="B160" s="45" t="s">
        <v>180</v>
      </c>
      <c r="C160" s="32"/>
      <c r="D160" s="32"/>
      <c r="E160" s="46"/>
      <c r="F160" s="47"/>
      <c r="G160" s="51"/>
      <c r="H160" s="47"/>
    </row>
    <row r="161" spans="1:8" ht="16.8" x14ac:dyDescent="0.3">
      <c r="A161" s="32">
        <v>4</v>
      </c>
      <c r="B161" s="45" t="s">
        <v>181</v>
      </c>
      <c r="C161" s="32"/>
      <c r="D161" s="32"/>
      <c r="E161" s="46"/>
      <c r="F161" s="47"/>
      <c r="G161" s="51"/>
      <c r="H161" s="47"/>
    </row>
    <row r="162" spans="1:8" ht="16.8" x14ac:dyDescent="0.3">
      <c r="A162" s="33" t="s">
        <v>183</v>
      </c>
      <c r="B162" s="34"/>
      <c r="C162" s="32"/>
      <c r="D162" s="32"/>
      <c r="E162" s="46"/>
      <c r="F162" s="47"/>
      <c r="G162" s="52">
        <v>100000000</v>
      </c>
      <c r="H162" s="47"/>
    </row>
    <row r="163" spans="1:8" ht="16.8" x14ac:dyDescent="0.3">
      <c r="A163" s="33" t="s">
        <v>184</v>
      </c>
      <c r="B163" s="34"/>
      <c r="C163" s="32"/>
      <c r="D163" s="32"/>
      <c r="E163" s="46"/>
      <c r="F163" s="47"/>
      <c r="G163" s="53">
        <f>G156+G162</f>
        <v>531479520</v>
      </c>
      <c r="H163" s="47"/>
    </row>
    <row r="164" spans="1:8" ht="16.8" x14ac:dyDescent="0.3">
      <c r="A164" s="33" t="s">
        <v>185</v>
      </c>
      <c r="B164" s="34"/>
      <c r="C164" s="32"/>
      <c r="D164" s="32"/>
      <c r="E164" s="46"/>
      <c r="F164" s="47"/>
      <c r="G164" s="53">
        <f>G163*8%</f>
        <v>42518361.600000001</v>
      </c>
      <c r="H164" s="47"/>
    </row>
    <row r="165" spans="1:8" ht="16.8" x14ac:dyDescent="0.3">
      <c r="A165" s="33" t="s">
        <v>186</v>
      </c>
      <c r="B165" s="34"/>
      <c r="C165" s="32"/>
      <c r="D165" s="32"/>
      <c r="E165" s="46"/>
      <c r="F165" s="47"/>
      <c r="G165" s="53">
        <f>G163+G164</f>
        <v>573997881.60000002</v>
      </c>
      <c r="H165" s="47"/>
    </row>
    <row r="166" spans="1:8" ht="16.8" x14ac:dyDescent="0.3">
      <c r="G166" s="54">
        <v>531479520</v>
      </c>
    </row>
    <row r="167" spans="1:8" ht="16.8" x14ac:dyDescent="0.3">
      <c r="G167" s="54"/>
    </row>
    <row r="168" spans="1:8" ht="16.8" x14ac:dyDescent="0.3">
      <c r="G168" s="54"/>
    </row>
  </sheetData>
  <autoFilter ref="A5:H163" xr:uid="{00000000-0001-0000-0000-000000000000}"/>
  <mergeCells count="18">
    <mergeCell ref="A4:H4"/>
    <mergeCell ref="A2:H2"/>
    <mergeCell ref="A1:H1"/>
    <mergeCell ref="A3:H3"/>
    <mergeCell ref="F5:F7"/>
    <mergeCell ref="A5:A7"/>
    <mergeCell ref="B5:B7"/>
    <mergeCell ref="C5:C7"/>
    <mergeCell ref="D5:D7"/>
    <mergeCell ref="H5:H7"/>
    <mergeCell ref="G5:G7"/>
    <mergeCell ref="E5:E7"/>
    <mergeCell ref="A165:B165"/>
    <mergeCell ref="A8:B8"/>
    <mergeCell ref="A157:B157"/>
    <mergeCell ref="A162:B162"/>
    <mergeCell ref="A163:B163"/>
    <mergeCell ref="A164:B164"/>
  </mergeCells>
  <phoneticPr fontId="2" type="noConversion"/>
  <printOptions horizontalCentered="1"/>
  <pageMargins left="0.31496062992125984" right="0.31496062992125984" top="0.36" bottom="0.34" header="0.31496062992125984" footer="0.17"/>
  <pageSetup paperSize="9" scale="68" orientation="landscape" r:id="rId1"/>
  <headerFooter>
    <oddFooter>&amp;C&amp;12Trang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GỬI TT</vt:lpstr>
      <vt:lpstr>'GỬI TT'!Print_Area</vt:lpstr>
      <vt:lpstr>'GỬI TT'!Print_Titles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XuanHuynh</dc:creator>
  <cp:lastModifiedBy>Việt Cường</cp:lastModifiedBy>
  <dcterms:created xsi:type="dcterms:W3CDTF">2022-03-20T23:08:51Z</dcterms:created>
  <dcterms:modified xsi:type="dcterms:W3CDTF">2026-06-05T06:46:52Z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45d61bfb1d8944ae8bad0d3b72b4e57a</vt:lpwstr>
  </property>
</Properties>
</file>