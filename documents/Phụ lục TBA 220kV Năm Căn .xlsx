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121D69D8-24BE-482E-B805-3089D2FD9089}" xr6:coauthVersionLast="47" xr6:coauthVersionMax="47" xr10:uidLastSave="{00000000-0000-0000-0000-000000000000}"/>
  <bookViews>
    <workbookView xWindow="-110" yWindow="-110" windowWidth="19420" windowHeight="11500" xr2:uid="{00000000-000D-0000-FFFF-FFFF00000000}"/>
  </bookViews>
  <sheets>
    <sheet name="Scada_TTLL" sheetId="1" r:id="rId1"/>
  </sheets>
  <definedNames>
    <definedName name="_xlnm._FilterDatabase" localSheetId="0" hidden="1">Scada_TTLL!$A$7:$L$200</definedName>
    <definedName name="_xlnm.Print_Titles" localSheetId="0">Scada_TTLL!$6:$7</definedName>
    <definedName name="_xlnm.Print_Area" localSheetId="0">Scada_TTLL!$A$1:$L$200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1" l="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K197" i="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2" i="1"/>
  <c r="K62" i="1" s="1"/>
  <c r="J63" i="1"/>
  <c r="K63" i="1" s="1"/>
  <c r="J64" i="1"/>
  <c r="K64" i="1" s="1"/>
  <c r="J65" i="1"/>
  <c r="K65" i="1" s="1"/>
  <c r="J66" i="1"/>
  <c r="K66" i="1" s="1"/>
  <c r="J68" i="1"/>
  <c r="K68" i="1" s="1"/>
  <c r="J70" i="1"/>
  <c r="K70" i="1" s="1"/>
  <c r="J71" i="1"/>
  <c r="K71" i="1" s="1"/>
  <c r="J72" i="1"/>
  <c r="K72" i="1" s="1"/>
  <c r="J73" i="1"/>
  <c r="K73" i="1" s="1"/>
  <c r="J74" i="1"/>
  <c r="K74"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1" i="1"/>
  <c r="K91" i="1" s="1"/>
  <c r="J92" i="1"/>
  <c r="K92" i="1" s="1"/>
  <c r="J93" i="1"/>
  <c r="K93" i="1" s="1"/>
  <c r="J94" i="1"/>
  <c r="K94" i="1" s="1"/>
  <c r="J95" i="1"/>
  <c r="K95" i="1" s="1"/>
  <c r="J96" i="1"/>
  <c r="K96" i="1" s="1"/>
  <c r="J97" i="1"/>
  <c r="K97"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5" i="1"/>
  <c r="K145" i="1" s="1"/>
  <c r="J146" i="1"/>
  <c r="K146" i="1" s="1"/>
  <c r="J147" i="1"/>
  <c r="K147" i="1" s="1"/>
  <c r="J148" i="1"/>
  <c r="K148" i="1" s="1"/>
  <c r="J149" i="1"/>
  <c r="K149" i="1" s="1"/>
  <c r="J150" i="1"/>
  <c r="K150" i="1" s="1"/>
  <c r="J151" i="1"/>
  <c r="K151" i="1" s="1"/>
  <c r="J152" i="1"/>
  <c r="K152" i="1" s="1"/>
  <c r="J154" i="1"/>
  <c r="K154" i="1" s="1"/>
  <c r="J155" i="1"/>
  <c r="K155" i="1" s="1"/>
  <c r="J156" i="1"/>
  <c r="K156" i="1" s="1"/>
  <c r="J11" i="1"/>
  <c r="K11" i="1" s="1"/>
  <c r="E146" i="1"/>
  <c r="E128" i="1"/>
  <c r="E107" i="1" s="1"/>
  <c r="E51" i="1" s="1"/>
  <c r="E126" i="1"/>
  <c r="E125" i="1"/>
  <c r="E72" i="1"/>
  <c r="E70" i="1"/>
  <c r="E106" i="1" s="1"/>
  <c r="E127" i="1" s="1"/>
  <c r="C19" i="1"/>
  <c r="K198" i="1" l="1"/>
  <c r="K199" i="1" l="1"/>
</calcChain>
</file>

<file path=xl/sharedStrings.xml><?xml version="1.0" encoding="utf-8"?>
<sst xmlns="http://schemas.openxmlformats.org/spreadsheetml/2006/main" count="423" uniqueCount="230">
  <si>
    <t>Ghi chú</t>
  </si>
  <si>
    <t>Mã hiệu</t>
  </si>
  <si>
    <t>Nguồn sản xuất</t>
  </si>
  <si>
    <t>Đơn giá</t>
  </si>
  <si>
    <t>Stt</t>
  </si>
  <si>
    <t>Mô tả công việc mời thầu</t>
  </si>
  <si>
    <t xml:space="preserve">Đơn vị tính </t>
  </si>
  <si>
    <t>Khối lượng</t>
  </si>
  <si>
    <t>Thành tiền
trước thuế VAT</t>
  </si>
  <si>
    <t>Thuế VAT</t>
  </si>
  <si>
    <t>%</t>
  </si>
  <si>
    <t>Tiền thuế</t>
  </si>
  <si>
    <t>Tổng tiền</t>
  </si>
  <si>
    <t>PHỤ LỤC 01: BẢNG CHI TIẾT GIÁ TRỊ HỢP ĐỒNG</t>
  </si>
  <si>
    <t>Tổng giá trị trước thuế (VNĐ)</t>
  </si>
  <si>
    <t>Tổng giá trị sau thuế (VNĐ)</t>
  </si>
  <si>
    <t>bộ</t>
  </si>
  <si>
    <t>MỤC A</t>
  </si>
  <si>
    <t>BI</t>
  </si>
  <si>
    <t>HỆ THỐNG PHÒNG CHÁY CHỮA CHÁY : (Tất cả ống cấp nước phòng cháy chữa cháy và phụ kiện được mạ kẽm 2 mặt và được sơn dầu màu đỏ, sơn 1 nước lót và 2 nước phủ)</t>
  </si>
  <si>
    <t>BJ</t>
  </si>
  <si>
    <t>1. Mặt bằng bố trí chung :</t>
  </si>
  <si>
    <t>Cung cấp và lắp đặt trụ nước chữa cháy (bao gồm hộp và vòi chữa cháy)</t>
  </si>
  <si>
    <t>Cung cấp và lắp đặt van chặn DN150mm</t>
  </si>
  <si>
    <t>Cung cấp và lắp đặt van chặn DN100mm</t>
  </si>
  <si>
    <t>Cung cấp và lắp đặt đặt co giảm STK D150/100</t>
  </si>
  <si>
    <t>Cung cấp và lắp đặt bích thép DN 150</t>
  </si>
  <si>
    <t>Cung cấp và lắp đặt bích thép DN100</t>
  </si>
  <si>
    <t>Cung cấp và lắp đặt Amiăng cho tấm dày 3mm</t>
  </si>
  <si>
    <t>Cung cấp boulon mạ kẽm thành phẩm { Đơn giá bulong mạ kẽm được tính toán trên khối lượng thép tinh đã gia công hoàn chỉnh (chưa mạ kẽm ), nhà thầu phải tính toán, chào giá trên khối lượng thép tinh phải bao gồm công tác mạ kẽm }</t>
  </si>
  <si>
    <t>Lắp đặt boulon mạ kẽm thành phẩm</t>
  </si>
  <si>
    <t>Cung cấp và lắp đặt dây dẫn, tín hiệu 2 ruột 2x1,5mm2 có giáp bảo vệ chống cháy chống nhiễu</t>
  </si>
  <si>
    <t>Cung cấp và lắp đặt ống STK DN 27mm</t>
  </si>
  <si>
    <t>Cung cấp và lắp đặt măng song STK DN27</t>
  </si>
  <si>
    <t>Cung cấp và lắp đặt hộp đựng Module</t>
  </si>
  <si>
    <t>Cung cấp và lắp đặt hộp phân dây ngoài trời</t>
  </si>
  <si>
    <t>Cung cấp và lắp đặt dây tiếp địa, đồng mềm 50mm2</t>
  </si>
  <si>
    <t>Cung cấp và lắp đặt đầu cosse dây tiếp địa 50mm2</t>
  </si>
  <si>
    <t>Cung cấp và lắp đặt Mối hàn hóa nhiệt (Cadweld)</t>
  </si>
  <si>
    <t>Cung cấp và lắp đặt thùng cát 0,5m3 ( gồm có bi cát + cát + xẻng )</t>
  </si>
  <si>
    <t>Nhân công chỉnh sửa , lắp đặt  sơn màu đỏ hệ thống</t>
  </si>
  <si>
    <t>BK</t>
  </si>
  <si>
    <t>2. Hệ thống báo cháy và phun sương :(1 dàn phun sương)</t>
  </si>
  <si>
    <t>BL</t>
  </si>
  <si>
    <t>2a. Thiết bị chữa cháy :</t>
  </si>
  <si>
    <t>Cung cấp và lắp đặt van chặn DN 80</t>
  </si>
  <si>
    <t>Cung cấp và lắp đặt van chặn DN 50</t>
  </si>
  <si>
    <t>Cung cấp và lắp đặt ống STK DN80mm dày 3,5mm</t>
  </si>
  <si>
    <t>Cung cấp và lắp đặt ống STK DN50mm dày 2,5mm</t>
  </si>
  <si>
    <t>Cung cấp và lắp đặt côn STK, DN65mm</t>
  </si>
  <si>
    <t>Cung cấp và lắp đặtcôn STK DN50mm</t>
  </si>
  <si>
    <t>Cung cấp và lắp đặt tê STK DN100x100x80</t>
  </si>
  <si>
    <t>Cung cấp và lắp đặt tê STK DN 50x50</t>
  </si>
  <si>
    <t>Cung cấp và lắp đặt bích STK DN 65</t>
  </si>
  <si>
    <t>Cung cấp boulon mạ kẽm nhúng nóng { Đơn giá bu long mạ kẽm được tính toán trên khối lượng thép tinh đã gia công hoàn chỉnh (chưa mạ kẽm ), nhà thầu phải tính toán, chào giá trên khối lượng thép tinh phải bao gồm công tác mạ kẽm }</t>
  </si>
  <si>
    <t>Lắp đặt boulon</t>
  </si>
  <si>
    <t xml:space="preserve">Nhân công chỉnh sửa , lắp đặt </t>
  </si>
  <si>
    <t>BM</t>
  </si>
  <si>
    <t>2b. Thiết bị báo cháy :</t>
  </si>
  <si>
    <t>Cung cấp và lắp đặt Đầu báo nhiệt ngoài trời chống nổ</t>
  </si>
  <si>
    <t>Cung cấp và lắp đặt Module điều khiển</t>
  </si>
  <si>
    <t>Cung cấp và lắp đặt Module kiểm soát thiết bị không địa chỉ</t>
  </si>
  <si>
    <t>Cung cấp và lắp đặt Module bảo vệ ngắn mạch</t>
  </si>
  <si>
    <t>Cung cấp và lắp đặt ống STK DN27mm bảo vệ dây</t>
  </si>
  <si>
    <t>Cung cấp và lắp đặt kẹp ống DN27</t>
  </si>
  <si>
    <t>Cung cấp và lắp đặt hộp phân dây 100x100</t>
  </si>
  <si>
    <t>Cung cấp và lắp đặt đèn báo cháy ngoài trời</t>
  </si>
  <si>
    <t>Cung cấp và lắp đặt nút báo cháy địa chỉ</t>
  </si>
  <si>
    <t>Cung cấp và lắp đặt chuông báo cháy</t>
  </si>
  <si>
    <t>Cung cấp và lắp đặt hộp đựng module báo cháy ngoải trời</t>
  </si>
  <si>
    <t>BN</t>
  </si>
  <si>
    <t>3a. Vật tư nhà bơm :</t>
  </si>
  <si>
    <t>Cung cấp bình điều áp 50 lít</t>
  </si>
  <si>
    <t>Cung cấp và lắp đặt máng điện 150x100, tôn dày 1mm</t>
  </si>
  <si>
    <t>Cung cấp và lắp đặt bình chữa cháy CO2 5kG ( bao gồm giá đỡ )</t>
  </si>
  <si>
    <t>Cung cấp và lắp đặtĐèn Exit 12W-225V, 50Hz, có pin DC dự phòng</t>
  </si>
  <si>
    <t>BO</t>
  </si>
  <si>
    <t>3b. Phụ kiện nhà bơm :</t>
  </si>
  <si>
    <t>BP</t>
  </si>
  <si>
    <t>3c. Vật tư thiết bị báo cháy :</t>
  </si>
  <si>
    <t>Cung cấp và lắp đặt Module cách ly</t>
  </si>
  <si>
    <t>BQ</t>
  </si>
  <si>
    <t>3d. Vật tư cấp nguồn nhà bơm :</t>
  </si>
  <si>
    <t>Tủ điện (Trọn bộ cùng hàng kẹp, kẹp cáp xuyên đáy tủ, bộ định vị thiết bị,… để lắp đặt hoàn chỉnh tủ)</t>
  </si>
  <si>
    <t>MCB 4P, 600VAC - 350A</t>
  </si>
  <si>
    <t>MCB 4P, 600VAC - 40AF/40AT</t>
  </si>
  <si>
    <t>MCB 2P, 600VAC - 20AF/20AT</t>
  </si>
  <si>
    <t>Hộp ổ cắm nhựa 600VAC, 10A, trọn bộ với cầu chì bảo vệ</t>
  </si>
  <si>
    <t>Hộp công tắc 2 nút 220V-10A trọn bộ đế âm, mặt nạ</t>
  </si>
  <si>
    <t>Cung cấp và lắp đặt cáp đồng bọc loại uPVC/XLPE/uPVC - 1000VAC (3x95x1x50)mm2</t>
  </si>
  <si>
    <t>Cung cấp và lắp đặt cáp đồng bọc loại uPVC/XLPE/uPVC - 1000VAC (3x70x1x35)mm2</t>
  </si>
  <si>
    <t>Cung cấp và lắp đặt cáp đồng bọc loại uPVC/XLPE/uPVC - 1000VAC (3x10x1x6)mm2</t>
  </si>
  <si>
    <t>Cung cấp và lắp đặt dây dẫn 2 ruột 2x1,5mm2</t>
  </si>
  <si>
    <t>Cung cấp và lắp đặt dây dẫn 2 ruột 2x2,5mm2</t>
  </si>
  <si>
    <t>Cung cấp và lắp đặt ống nhựa đặt chìm bảo hộ dây dẫn Ø 27mm</t>
  </si>
  <si>
    <t>Cung cấp và lắp đặt ống nhựa đặt chìm bảo hộ dây dẫn, đường kính Ø 100mm</t>
  </si>
  <si>
    <t>Cung cấp và lắp đặt đèn Led đơn 1,2m, 1x21,5W, 220V, 50Hz (Trọn bộ balast, máng đèn, chụp)</t>
  </si>
  <si>
    <t>BR</t>
  </si>
  <si>
    <t>3e. Vật tư nối đất nhà bơm :</t>
  </si>
  <si>
    <t>Cung cấp và lắp đặt dây tiếp địa, đồng mềm 25mm2</t>
  </si>
  <si>
    <t>Cung cấp và lắp đặt đầu cosse dây tiếp địa 25mm2</t>
  </si>
  <si>
    <t>Cung cấp và lắp đặt kẹp C dây tiếp địa 25mm2</t>
  </si>
  <si>
    <t>Cung cấp và lắp đặt kẹp C dây tiếp địa 50mm2</t>
  </si>
  <si>
    <t>Cung cấp và lắp đặt mối hàn hóa nhiệt (Cadweld)</t>
  </si>
  <si>
    <t>BV</t>
  </si>
  <si>
    <t>*7. Bố trí TB báo cháy &amp; phương tiện chữa cháy :</t>
  </si>
  <si>
    <t>BW</t>
  </si>
  <si>
    <t>7a. Nhà điều khiển :</t>
  </si>
  <si>
    <t>Cung cấp và lắp đặt đầu báo cháy khói Ion - địa chỉ</t>
  </si>
  <si>
    <t>Cung cấp và lắp đặt đầu báo cháy khói thường</t>
  </si>
  <si>
    <t>Cung cấp và lắp đặt đầu báo nhiệt gia tăng chống nổ</t>
  </si>
  <si>
    <t>Cung cấp và lắp đặt nút báo cháy thường</t>
  </si>
  <si>
    <t>Cung cấp và lắp đặt ống STK DN21mm bảo vệ dây</t>
  </si>
  <si>
    <t>Cung cấp và lắp đặt ống ruột gà DN21mm bảo vệ dây</t>
  </si>
  <si>
    <t>Cung cấp và lắp đặt kẹp ống DN21</t>
  </si>
  <si>
    <t>Cung cấp và lắp đặt hộp nối thép 50x50</t>
  </si>
  <si>
    <t>Cung cấp và lắp đặt hộp đựng module báo cháy</t>
  </si>
  <si>
    <t>Cung cấp và lắp đặt Đèn thoát hiểm</t>
  </si>
  <si>
    <t>Quần áo chữa cháy</t>
  </si>
  <si>
    <t>Găng tay,mũ, ủng chửa cháy</t>
  </si>
  <si>
    <t>BX</t>
  </si>
  <si>
    <t>7b. Nhà bảo vệ :</t>
  </si>
  <si>
    <t>Acquy khô 12V-20Ah</t>
  </si>
  <si>
    <t>Bộ nguồn phụ 220VAC/24VDC 10A, màu đỏ (không acquy)</t>
  </si>
  <si>
    <t>Acquy khô 12V-12Ah</t>
  </si>
  <si>
    <t>Cung cấp và lắp đặt bình CO2 chữa cháy 5kg (trọn gói)</t>
  </si>
  <si>
    <t>Cung cấp và lắp đặt đèn báo cháy</t>
  </si>
  <si>
    <t>BY</t>
  </si>
  <si>
    <t>7c. Sơ dồ điều khiển tủ Module tại nhà bảo vệ :</t>
  </si>
  <si>
    <t>Cung cấp và lắp đặt nút báo cháy</t>
  </si>
  <si>
    <t>Cung cấp và lắp đặt Module đầu vào địa chỉ</t>
  </si>
  <si>
    <t>Cung cấp và lắp đặt Module đầu ra địa chỉ</t>
  </si>
  <si>
    <t>Cung cấp và lắp đặt MCB 2P, 240VAC - 10A</t>
  </si>
  <si>
    <t>Cung cấp và lắp đặt Bộ nguồn 240V/24VDC-10A + MCB 240V-10A 2P ( trọn bộ đầy đủ các phụ kiện kèm theo)</t>
  </si>
  <si>
    <t>Cung cấp và lắp đặt Phụ kiện lắp đặt</t>
  </si>
  <si>
    <t>Cung cấp và lắp đặt Nút nhấn khởi động</t>
  </si>
  <si>
    <t>Cung cấp và lắp đặt Nút nhấn dừng</t>
  </si>
  <si>
    <t>BZ</t>
  </si>
  <si>
    <t>7d. Nhà trực ca</t>
  </si>
  <si>
    <t>Cung cấp và lắp đặt hộp nối dây 100x100</t>
  </si>
  <si>
    <t>Cung cấp bình chữa cháy CO2 5kG</t>
  </si>
  <si>
    <t>CA</t>
  </si>
  <si>
    <t>8. Máy bơm và động cơ truyền động</t>
  </si>
  <si>
    <t>Ắc quy + phụ kiện chân đế</t>
  </si>
  <si>
    <t>Nhân công đấu nối kiểm tra và chạy bơm</t>
  </si>
  <si>
    <t>MỤC B</t>
  </si>
  <si>
    <t xml:space="preserve">Gia công lắp đặt lại giàn phun sương, lắp đặt lại ống đã cắt; </t>
  </si>
  <si>
    <t>Kéo cáp nguồn đấu nối</t>
  </si>
  <si>
    <t>Lắp đặt dây tiếp địa dàn phun sương (dây 50mm): 60m</t>
  </si>
  <si>
    <t>Lắp đặt dây tiếp địa nhà bơm (dây 120mm): 20m</t>
  </si>
  <si>
    <t>cái</t>
  </si>
  <si>
    <t>bích</t>
  </si>
  <si>
    <t>m2</t>
  </si>
  <si>
    <t>Tấn</t>
  </si>
  <si>
    <t>tấn</t>
  </si>
  <si>
    <t>m</t>
  </si>
  <si>
    <t>100m</t>
  </si>
  <si>
    <t>hộp</t>
  </si>
  <si>
    <t>Cái</t>
  </si>
  <si>
    <t>Mối</t>
  </si>
  <si>
    <t>Thùng</t>
  </si>
  <si>
    <t>10 đầu</t>
  </si>
  <si>
    <t>Bình</t>
  </si>
  <si>
    <t>mối</t>
  </si>
  <si>
    <t>Bộ</t>
  </si>
  <si>
    <t>Lô</t>
  </si>
  <si>
    <t>Tủ VN, dây và vòi Tomoken/BQP</t>
  </si>
  <si>
    <t>Shinyi</t>
  </si>
  <si>
    <t>cadivi</t>
  </si>
  <si>
    <t>Minh Phát</t>
  </si>
  <si>
    <t>VN</t>
  </si>
  <si>
    <t>Hòa  Phát</t>
  </si>
  <si>
    <t>DCP-R2ML - Hochiki/ USA</t>
  </si>
  <si>
    <t>DCP-AMS</t>
  </si>
  <si>
    <t>FBB-150K</t>
  </si>
  <si>
    <t>DCP-CZM - Hochiki/ USA</t>
  </si>
  <si>
    <t>HPS-SAH</t>
  </si>
  <si>
    <t>12V-20Ah/VN</t>
  </si>
  <si>
    <t>FN-1024X-R/220V  - Hochiki/ USA</t>
  </si>
  <si>
    <t>12V-12Ah</t>
  </si>
  <si>
    <t>HES3-24WR</t>
  </si>
  <si>
    <t>DCP-FRCME-M - Hochiki/ USA</t>
  </si>
  <si>
    <t>KFDO-CS-EX2.51PI - Hochiki/ Singapore</t>
  </si>
  <si>
    <t>DCP-SCI - Hochiki/ USA</t>
  </si>
  <si>
    <t>PHẦN PHÁT SINH THEO PL01 HỢP ĐỒNG</t>
  </si>
  <si>
    <t>Ống nhựa luồn dây báo cháy</t>
  </si>
  <si>
    <t>Phụ kiện lắp đặt</t>
  </si>
  <si>
    <t>Card I/O-FN-4127-0I-16 EIGHT RELAY CIRCUIT MODULER</t>
  </si>
  <si>
    <t>Card I/O-SCADA</t>
  </si>
  <si>
    <t>Ống ruột gà đen lõi thép</t>
  </si>
  <si>
    <t>tủ điều khiển module báo cháy</t>
  </si>
  <si>
    <t>Cầu đấu 3 pha</t>
  </si>
  <si>
    <t>Tiếp địa giàn phun sương</t>
  </si>
  <si>
    <t>Đầu cos tiếp địa giàn phun sương</t>
  </si>
  <si>
    <t>Chân đế giảm rung cho máy bơm điện</t>
  </si>
  <si>
    <t>Cáp 3x70+1x35mm2</t>
  </si>
  <si>
    <t>Cáp 3x10+1x6mm2</t>
  </si>
  <si>
    <t>Dây dẫn 2 ruột 2x1.5mm2</t>
  </si>
  <si>
    <t>Dây dẫn 2 ruột 2x2.5mm2</t>
  </si>
  <si>
    <t>Dây đồng trần 50mm2</t>
  </si>
  <si>
    <t>Dây đồng trần 25mm2</t>
  </si>
  <si>
    <t>Đầu cosse cho dây đồng trần 25mm2</t>
  </si>
  <si>
    <t>Đầu cosse cho dây đồng trần 50mm2</t>
  </si>
  <si>
    <t>Kẹp C nối đất cho dây đồng trần 25mm2</t>
  </si>
  <si>
    <t>Kẹp C nối đất cho dây đồng trần 50mm2</t>
  </si>
  <si>
    <t>Mối hàn hóa nhiệt</t>
  </si>
  <si>
    <t>Mặt bích PN16 D200</t>
  </si>
  <si>
    <t>Khớp nối mềm PN16 D200</t>
  </si>
  <si>
    <t>Cầu chì công nghiệp 600V 0.5A</t>
  </si>
  <si>
    <t>Sửa chữa phần lắp đặt sai thiết kế trong nhà (dây tín hiệu đang luồn ống nhựa)</t>
  </si>
  <si>
    <t>Dây tín hiệu</t>
  </si>
  <si>
    <t>Kiểm tra hệ thống, cài đặt tủ báo cháy</t>
  </si>
  <si>
    <t>Ống HDPE Ø 32</t>
  </si>
  <si>
    <t>Đầu hồng ngoại chống đột nhập dạng Beam (Đầu thu + đầu phát)</t>
  </si>
  <si>
    <t>Dây nguồn và dây tín hiệu cho đầu Beam</t>
  </si>
  <si>
    <t>Bộ xử lý chống đột nhập 24 kênh</t>
  </si>
  <si>
    <t>Phụ kiện</t>
  </si>
  <si>
    <t>Gói</t>
  </si>
  <si>
    <t>(Bằng chữ: Một tỷ, hai trăm tám mươi sáu triệu, một trăm bốn mươi chín nghìn, một trăm hai mươi sáu triệu./.)</t>
  </si>
  <si>
    <t>Công trình: Trạm biến áp 220kV Năm Căn</t>
  </si>
  <si>
    <t>Hạng mục: Trạm biến áp 220kV Năm Căn và đường dây 220kV Năm Căn – Cà Mau 2</t>
  </si>
  <si>
    <t>(Đính kèm theo Hợp đồng số:   17/2026-HDTC-E.LCG 16 ngày 02 tháng 06 năm 2026</t>
  </si>
  <si>
    <t>Tomoken/BQP</t>
  </si>
  <si>
    <t>Hochiki/ Japan</t>
  </si>
  <si>
    <t>Đầu báo nhiệt chống nổ 90oC  -FFH-2E090</t>
  </si>
  <si>
    <t>Hochiki/ USA</t>
  </si>
  <si>
    <t xml:space="preserve">DCP-R2ML </t>
  </si>
  <si>
    <t xml:space="preserve">WHEC24-75WR  </t>
  </si>
  <si>
    <t xml:space="preserve">DCP-CZM </t>
  </si>
  <si>
    <t>Hochiki/ Singapore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</si>
</sst>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00\ _₫_-;\-* #,##0.00\ _₫_-;_-* &quot;-&quot;??\ _₫_-;_-@_-"/>
    <numFmt numFmtId="166" formatCode="_-* #,##0\ _₫_-;\-* #,##0\ _₫_-;_-* &quot;-&quot;??\ _₫_-;_-@_-"/>
    <numFmt numFmtId="167" formatCode="_(* #,##0_);_(* \(#,##0\);_(* &quot;-&quot;??_);_(@_)"/>
    <numFmt numFmtId="168" formatCode="_-* #,##0_-;\-* #,##0_-;_-* &quot;-&quot;??_-;_-@_-"/>
    <numFmt numFmtId="169" formatCode="_(* #,##0_);_(* \(#,##0\);_(* &quot;-&quot;_);_(@_)"/>
  </numFmts>
  <fonts count="15" x14ac:knownFonts="1">
    <font>
      <sz val="11"/>
      <color theme="1"/>
      <name val="Arial"/>
      <family val="2"/>
      <scheme val="minor"/>
    </font>
    <font>
      <sz val="11"/>
      <color theme="1"/>
      <name val="Arial"/>
      <family val="2"/>
      <scheme val="minor"/>
    </font>
    <font>
      <sz val="11"/>
      <color theme="1"/>
      <name val="Arial"/>
      <family val="2"/>
      <charset val="163"/>
      <scheme val="minor"/>
    </font>
    <font>
      <sz val="11"/>
      <name val="Arial"/>
      <family val="2"/>
      <scheme val="minor"/>
    </font>
    <font>
      <b/>
      <sz val="16"/>
      <color rgb="FF000000"/>
      <name val="Times New Roman"/>
      <family val="1"/>
    </font>
    <font>
      <b/>
      <i/>
      <sz val="13"/>
      <name val="Times New Roman"/>
      <family val="1"/>
    </font>
    <font>
      <sz val="8"/>
      <name val="Arial"/>
      <family val="2"/>
      <scheme val="minor"/>
    </font>
    <font>
      <b/>
      <sz val="13"/>
      <name val="Times New Roman"/>
      <family val="1"/>
    </font>
    <font>
      <sz val="13"/>
      <name val="Times New Roman"/>
      <family val="1"/>
    </font>
    <font>
      <b/>
      <sz val="13"/>
      <color rgb="FF000000"/>
      <name val="Times New Roman"/>
      <family val="1"/>
    </font>
    <font>
      <sz val="13"/>
      <color theme="1"/>
      <name val="Times New Roman"/>
      <family val="1"/>
    </font>
    <font>
      <b/>
      <i/>
      <sz val="13"/>
      <color rgb="FF000000"/>
      <name val="Times New Roman"/>
      <family val="1"/>
    </font>
    <font>
      <b/>
      <sz val="13"/>
      <color theme="1"/>
      <name val="Times New Roman"/>
      <family val="1"/>
    </font>
    <font>
      <i/>
      <sz val="13"/>
      <color rgb="FF000000"/>
      <name val="Times New Roman"/>
      <family val="1"/>
    </font>
    <font>
      <i/>
      <sz val="13"/>
      <name val="Times New Roman"/>
      <family val="1"/>
    </font>
  </fonts>
  <fills count="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hair">
        <color auto="1"/>
      </top>
      <bottom/>
      <diagonal/>
    </border>
    <border>
      <left style="thin">
        <color indexed="64"/>
      </left>
      <right/>
      <top style="thin">
        <color indexed="64"/>
      </top>
      <bottom/>
      <diagonal/>
    </border>
    <border>
      <left/>
      <right style="thin">
        <color indexed="64"/>
      </right>
      <top style="thin">
        <color indexed="64"/>
      </top>
      <bottom/>
      <diagonal/>
    </border>
  </borders>
  <cellStyleXfs count="5">
    <xf numFmtId="0" fontId="0" fillId="0" borderId="0"/>
    <xf numFmtId="165" fontId="2" fillId="0" borderId="0" applyFont="0" applyFill="0" applyBorder="0" applyAlignment="0" applyProtection="0"/>
    <xf numFmtId="0" fontId="3" fillId="0" borderId="0"/>
    <xf numFmtId="164"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10" fillId="0" borderId="0" xfId="0" applyFont="1" applyAlignment="1">
      <alignment vertical="center"/>
    </xf>
    <xf numFmtId="0" fontId="9" fillId="4" borderId="0" xfId="0" applyFont="1" applyFill="1" applyAlignment="1">
      <alignment vertical="center" wrapText="1"/>
    </xf>
    <xf numFmtId="0" fontId="12" fillId="4" borderId="0" xfId="0" applyFont="1" applyFill="1" applyAlignment="1">
      <alignment horizontal="center" vertical="center"/>
    </xf>
    <xf numFmtId="0" fontId="10" fillId="4" borderId="0" xfId="0" applyFont="1" applyFill="1" applyAlignment="1">
      <alignment vertical="center"/>
    </xf>
    <xf numFmtId="0" fontId="9" fillId="4" borderId="1" xfId="0" applyFont="1" applyFill="1" applyBorder="1" applyAlignment="1">
      <alignment horizontal="center" vertical="center" wrapText="1"/>
    </xf>
    <xf numFmtId="0" fontId="12" fillId="0" borderId="2" xfId="0" applyFont="1" applyBorder="1" applyAlignment="1">
      <alignment horizontal="center" vertical="center" wrapText="1"/>
    </xf>
    <xf numFmtId="0" fontId="11" fillId="4" borderId="2" xfId="0" applyFont="1" applyFill="1" applyBorder="1" applyAlignment="1">
      <alignment horizontal="center" vertical="center" wrapText="1"/>
    </xf>
    <xf numFmtId="0" fontId="12" fillId="0" borderId="0" xfId="0" applyFont="1" applyAlignment="1">
      <alignment vertical="center"/>
    </xf>
    <xf numFmtId="9" fontId="8" fillId="4" borderId="2" xfId="4" applyFont="1" applyFill="1" applyBorder="1" applyAlignment="1">
      <alignment horizontal="center" vertical="center"/>
    </xf>
    <xf numFmtId="0" fontId="13" fillId="4" borderId="2" xfId="0" applyFont="1" applyFill="1" applyBorder="1" applyAlignment="1">
      <alignment horizontal="center" vertical="center" wrapText="1"/>
    </xf>
    <xf numFmtId="0" fontId="13" fillId="4" borderId="2" xfId="0" applyFont="1" applyFill="1" applyBorder="1" applyAlignment="1">
      <alignment vertical="center" wrapText="1"/>
    </xf>
    <xf numFmtId="166" fontId="8" fillId="0" borderId="2" xfId="1" applyNumberFormat="1" applyFont="1" applyFill="1" applyBorder="1" applyAlignment="1">
      <alignment horizontal="center" vertical="center"/>
    </xf>
    <xf numFmtId="0" fontId="10" fillId="4" borderId="2" xfId="0" applyFont="1" applyFill="1" applyBorder="1" applyAlignment="1">
      <alignment vertical="center"/>
    </xf>
    <xf numFmtId="0" fontId="10" fillId="0" borderId="2" xfId="0" applyFont="1" applyBorder="1" applyAlignment="1">
      <alignment horizontal="center" vertical="center" wrapText="1"/>
    </xf>
    <xf numFmtId="0" fontId="11" fillId="4" borderId="2" xfId="0" applyFont="1" applyFill="1" applyBorder="1" applyAlignment="1">
      <alignment vertical="center" wrapText="1"/>
    </xf>
    <xf numFmtId="0" fontId="8" fillId="4" borderId="2" xfId="0" applyFont="1" applyFill="1" applyBorder="1" applyAlignment="1">
      <alignment vertical="center"/>
    </xf>
    <xf numFmtId="0" fontId="14" fillId="4" borderId="2" xfId="0" applyFont="1" applyFill="1" applyBorder="1" applyAlignment="1">
      <alignment horizontal="center" vertical="center"/>
    </xf>
    <xf numFmtId="0" fontId="14" fillId="0" borderId="2" xfId="0" applyFont="1" applyBorder="1" applyAlignment="1">
      <alignment horizontal="center" vertical="center"/>
    </xf>
    <xf numFmtId="168" fontId="8" fillId="4" borderId="2" xfId="3" applyNumberFormat="1" applyFont="1" applyFill="1" applyBorder="1" applyAlignment="1">
      <alignment vertical="center"/>
    </xf>
    <xf numFmtId="0" fontId="8" fillId="0" borderId="2" xfId="0" applyFont="1" applyBorder="1" applyAlignment="1">
      <alignment horizontal="center" vertical="center"/>
    </xf>
    <xf numFmtId="0" fontId="8" fillId="0" borderId="2" xfId="0" applyFont="1" applyBorder="1" applyAlignment="1">
      <alignment vertical="center" wrapText="1"/>
    </xf>
    <xf numFmtId="0" fontId="8" fillId="4" borderId="2" xfId="0" applyFont="1" applyFill="1" applyBorder="1" applyAlignment="1">
      <alignment horizontal="center" vertical="center"/>
    </xf>
    <xf numFmtId="3" fontId="8" fillId="0" borderId="2" xfId="0" applyNumberFormat="1" applyFont="1" applyBorder="1" applyAlignment="1">
      <alignment vertical="center"/>
    </xf>
    <xf numFmtId="0" fontId="8" fillId="0" borderId="4" xfId="0" applyFont="1" applyBorder="1" applyAlignment="1">
      <alignment horizontal="center" vertical="center"/>
    </xf>
    <xf numFmtId="0" fontId="8" fillId="0" borderId="4" xfId="0" applyFont="1" applyBorder="1" applyAlignment="1">
      <alignment vertical="center" wrapText="1"/>
    </xf>
    <xf numFmtId="0" fontId="8" fillId="4" borderId="4" xfId="0" applyFont="1" applyFill="1" applyBorder="1" applyAlignment="1">
      <alignment horizontal="center" vertical="center"/>
    </xf>
    <xf numFmtId="3" fontId="8" fillId="0" borderId="4" xfId="0" applyNumberFormat="1" applyFont="1" applyBorder="1" applyAlignment="1">
      <alignment vertical="center"/>
    </xf>
    <xf numFmtId="3" fontId="7" fillId="4" borderId="1" xfId="3" applyNumberFormat="1" applyFont="1" applyFill="1" applyBorder="1" applyAlignment="1">
      <alignment horizontal="right" vertical="center" wrapText="1"/>
    </xf>
    <xf numFmtId="3" fontId="7" fillId="4" borderId="1" xfId="0" applyNumberFormat="1" applyFont="1" applyFill="1" applyBorder="1" applyAlignment="1">
      <alignment horizontal="center" vertical="center" wrapText="1"/>
    </xf>
    <xf numFmtId="4" fontId="8" fillId="4" borderId="1" xfId="0" applyNumberFormat="1" applyFont="1" applyFill="1" applyBorder="1" applyAlignment="1">
      <alignment horizontal="center" vertical="center" wrapText="1"/>
    </xf>
    <xf numFmtId="0" fontId="10" fillId="4" borderId="1" xfId="0" applyFont="1" applyFill="1" applyBorder="1" applyAlignment="1">
      <alignment vertical="center"/>
    </xf>
    <xf numFmtId="3" fontId="7" fillId="4" borderId="1" xfId="3" applyNumberFormat="1" applyFont="1" applyFill="1" applyBorder="1" applyAlignment="1">
      <alignment vertical="center" wrapText="1"/>
    </xf>
    <xf numFmtId="3" fontId="8" fillId="4" borderId="1" xfId="0" applyNumberFormat="1" applyFont="1" applyFill="1" applyBorder="1" applyAlignment="1">
      <alignment horizontal="center" vertical="center" wrapText="1"/>
    </xf>
    <xf numFmtId="0" fontId="10" fillId="0" borderId="0" xfId="0" applyFont="1" applyAlignment="1">
      <alignment vertical="center" wrapText="1"/>
    </xf>
    <xf numFmtId="0" fontId="10" fillId="3" borderId="0" xfId="0" applyFont="1" applyFill="1" applyAlignment="1">
      <alignment horizontal="center" vertical="center"/>
    </xf>
    <xf numFmtId="0" fontId="10" fillId="0" borderId="0" xfId="0" applyFont="1" applyAlignment="1">
      <alignment horizontal="center" vertical="center"/>
    </xf>
    <xf numFmtId="167" fontId="12" fillId="0" borderId="0" xfId="3" applyNumberFormat="1" applyFont="1" applyAlignment="1">
      <alignment horizontal="center" vertical="center"/>
    </xf>
    <xf numFmtId="10" fontId="12" fillId="3" borderId="0" xfId="4" applyNumberFormat="1" applyFont="1" applyFill="1" applyAlignment="1">
      <alignment vertical="center"/>
    </xf>
    <xf numFmtId="167" fontId="12" fillId="0" borderId="0" xfId="3" applyNumberFormat="1" applyFont="1" applyAlignment="1">
      <alignment vertical="center"/>
    </xf>
    <xf numFmtId="167" fontId="10" fillId="3" borderId="0" xfId="3" applyNumberFormat="1" applyFont="1" applyFill="1" applyAlignment="1">
      <alignment vertical="center"/>
    </xf>
    <xf numFmtId="167" fontId="10" fillId="0" borderId="0" xfId="3" applyNumberFormat="1" applyFont="1" applyAlignment="1">
      <alignment vertical="center"/>
    </xf>
    <xf numFmtId="4" fontId="8" fillId="2" borderId="0" xfId="0" applyNumberFormat="1" applyFont="1" applyFill="1" applyAlignment="1">
      <alignment vertical="center" wrapText="1"/>
    </xf>
    <xf numFmtId="3" fontId="8" fillId="2" borderId="0" xfId="0" applyNumberFormat="1" applyFont="1" applyFill="1" applyAlignment="1">
      <alignment vertical="center" wrapText="1"/>
    </xf>
    <xf numFmtId="10" fontId="10" fillId="0" borderId="0" xfId="4" applyNumberFormat="1" applyFont="1" applyAlignment="1">
      <alignment vertical="center"/>
    </xf>
    <xf numFmtId="167" fontId="10" fillId="0" borderId="0" xfId="3" applyNumberFormat="1" applyFont="1" applyAlignment="1">
      <alignment horizontal="center" vertical="center"/>
    </xf>
    <xf numFmtId="167" fontId="10" fillId="3" borderId="0" xfId="0" applyNumberFormat="1" applyFont="1" applyFill="1" applyAlignment="1">
      <alignment vertical="center"/>
    </xf>
    <xf numFmtId="167" fontId="10" fillId="0" borderId="0" xfId="0" applyNumberFormat="1" applyFont="1" applyAlignment="1">
      <alignment horizontal="center" vertical="center"/>
    </xf>
    <xf numFmtId="167" fontId="10" fillId="0" borderId="0" xfId="0" applyNumberFormat="1" applyFont="1" applyAlignment="1">
      <alignment vertical="center"/>
    </xf>
    <xf numFmtId="0" fontId="10" fillId="3" borderId="0" xfId="0" applyFont="1" applyFill="1" applyAlignment="1">
      <alignment vertical="center"/>
    </xf>
    <xf numFmtId="3" fontId="10" fillId="0" borderId="0" xfId="0" applyNumberFormat="1" applyFont="1" applyAlignment="1">
      <alignment vertical="center"/>
    </xf>
    <xf numFmtId="167" fontId="8" fillId="4" borderId="2" xfId="3" applyNumberFormat="1" applyFont="1" applyFill="1" applyBorder="1" applyAlignment="1">
      <alignment horizontal="right" vertical="center"/>
    </xf>
    <xf numFmtId="0" fontId="7" fillId="4" borderId="6"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12" fillId="0" borderId="7" xfId="0" applyFont="1" applyBorder="1" applyAlignment="1">
      <alignment horizontal="center" vertical="center" wrapText="1"/>
    </xf>
    <xf numFmtId="0" fontId="7" fillId="4" borderId="6" xfId="0" applyFont="1" applyFill="1" applyBorder="1" applyAlignment="1">
      <alignment horizontal="center" vertical="center"/>
    </xf>
    <xf numFmtId="9" fontId="7" fillId="4" borderId="7" xfId="4" applyFont="1" applyFill="1" applyBorder="1" applyAlignment="1">
      <alignment horizontal="center" vertical="center"/>
    </xf>
    <xf numFmtId="167" fontId="8" fillId="4" borderId="7" xfId="3" applyNumberFormat="1" applyFont="1" applyFill="1" applyBorder="1" applyAlignment="1">
      <alignment horizontal="right" vertical="center"/>
    </xf>
    <xf numFmtId="0" fontId="11" fillId="4" borderId="7"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7" fillId="4" borderId="3" xfId="0" applyFont="1" applyFill="1" applyBorder="1" applyAlignment="1">
      <alignment vertical="center" wrapText="1"/>
    </xf>
    <xf numFmtId="0" fontId="12" fillId="0" borderId="3" xfId="0" applyFont="1" applyBorder="1" applyAlignment="1">
      <alignment horizontal="center" vertical="center" wrapText="1"/>
    </xf>
    <xf numFmtId="168" fontId="8" fillId="4" borderId="3" xfId="3" applyNumberFormat="1" applyFont="1" applyFill="1" applyBorder="1" applyAlignment="1">
      <alignment vertical="center"/>
    </xf>
    <xf numFmtId="0" fontId="8" fillId="4" borderId="3" xfId="0" applyFont="1" applyFill="1" applyBorder="1" applyAlignment="1">
      <alignment vertical="center"/>
    </xf>
    <xf numFmtId="9" fontId="8" fillId="4" borderId="3" xfId="4" applyFont="1" applyFill="1" applyBorder="1" applyAlignment="1">
      <alignment horizontal="center" vertical="center"/>
    </xf>
    <xf numFmtId="167" fontId="8" fillId="4" borderId="3" xfId="3" applyNumberFormat="1" applyFont="1" applyFill="1" applyBorder="1" applyAlignment="1">
      <alignment horizontal="right" vertical="center"/>
    </xf>
    <xf numFmtId="0" fontId="11" fillId="4" borderId="3"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2" xfId="0" applyFont="1" applyFill="1" applyBorder="1" applyAlignment="1">
      <alignment vertical="center" wrapText="1"/>
    </xf>
    <xf numFmtId="0" fontId="8" fillId="4" borderId="2" xfId="0" applyFont="1" applyFill="1" applyBorder="1" applyAlignment="1">
      <alignment horizontal="center" vertical="center" wrapText="1"/>
    </xf>
    <xf numFmtId="0" fontId="8" fillId="4" borderId="2" xfId="0" applyFont="1" applyFill="1" applyBorder="1" applyAlignment="1">
      <alignment vertical="center" wrapText="1"/>
    </xf>
    <xf numFmtId="0" fontId="8" fillId="4" borderId="2" xfId="0" applyFont="1" applyFill="1" applyBorder="1" applyAlignment="1">
      <alignment horizontal="right" vertical="center" wrapText="1"/>
    </xf>
    <xf numFmtId="168" fontId="8" fillId="4" borderId="2" xfId="0" applyNumberFormat="1" applyFont="1" applyFill="1" applyBorder="1" applyAlignment="1">
      <alignment vertical="center"/>
    </xf>
    <xf numFmtId="168" fontId="8" fillId="4" borderId="2" xfId="3" applyNumberFormat="1" applyFont="1" applyFill="1" applyBorder="1" applyAlignment="1">
      <alignment vertical="center" wrapText="1"/>
    </xf>
    <xf numFmtId="168" fontId="8" fillId="4" borderId="2" xfId="3" applyNumberFormat="1" applyFont="1" applyFill="1" applyBorder="1" applyAlignment="1">
      <alignment horizontal="center" vertical="center"/>
    </xf>
    <xf numFmtId="0" fontId="8" fillId="4" borderId="2" xfId="0" applyFont="1" applyFill="1" applyBorder="1" applyAlignment="1">
      <alignment horizontal="left" vertical="center" wrapText="1"/>
    </xf>
    <xf numFmtId="166" fontId="8" fillId="4" borderId="2" xfId="1" applyNumberFormat="1" applyFont="1" applyFill="1" applyBorder="1" applyAlignment="1">
      <alignment horizontal="center" vertical="center"/>
    </xf>
    <xf numFmtId="169" fontId="8" fillId="4" borderId="2" xfId="0" applyNumberFormat="1" applyFont="1" applyFill="1" applyBorder="1" applyAlignment="1">
      <alignment vertical="center"/>
    </xf>
    <xf numFmtId="0" fontId="8" fillId="0" borderId="2" xfId="0" applyFont="1" applyBorder="1" applyAlignment="1">
      <alignment vertical="center"/>
    </xf>
    <xf numFmtId="169" fontId="8" fillId="0" borderId="2" xfId="0" applyNumberFormat="1" applyFont="1" applyBorder="1" applyAlignment="1">
      <alignment vertical="center"/>
    </xf>
    <xf numFmtId="0" fontId="8" fillId="0" borderId="2" xfId="0" applyFont="1" applyBorder="1" applyAlignment="1">
      <alignment horizontal="justify" vertical="center"/>
    </xf>
    <xf numFmtId="166" fontId="8" fillId="4" borderId="4" xfId="1" applyNumberFormat="1" applyFont="1" applyFill="1" applyBorder="1" applyAlignment="1">
      <alignment horizontal="center" vertical="center"/>
    </xf>
    <xf numFmtId="169" fontId="8" fillId="0" borderId="4" xfId="0" applyNumberFormat="1" applyFont="1" applyBorder="1" applyAlignment="1">
      <alignment vertical="center"/>
    </xf>
    <xf numFmtId="9" fontId="8" fillId="4" borderId="4" xfId="4" applyFont="1" applyFill="1" applyBorder="1" applyAlignment="1">
      <alignment horizontal="center" vertical="center"/>
    </xf>
    <xf numFmtId="167" fontId="8" fillId="4" borderId="4" xfId="3" applyNumberFormat="1" applyFont="1" applyFill="1" applyBorder="1" applyAlignment="1">
      <alignment horizontal="right" vertical="center"/>
    </xf>
    <xf numFmtId="0" fontId="10" fillId="4" borderId="4" xfId="0" applyFont="1" applyFill="1" applyBorder="1" applyAlignment="1">
      <alignment vertical="center"/>
    </xf>
    <xf numFmtId="4" fontId="7" fillId="4" borderId="1" xfId="0" applyNumberFormat="1" applyFont="1" applyFill="1" applyBorder="1" applyAlignment="1">
      <alignment horizontal="center" vertical="center" wrapText="1"/>
    </xf>
    <xf numFmtId="3" fontId="5" fillId="2"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7" fillId="4" borderId="9" xfId="0" applyFont="1" applyFill="1" applyBorder="1" applyAlignment="1">
      <alignment horizontal="center" vertical="center" wrapText="1"/>
    </xf>
    <xf numFmtId="0" fontId="7" fillId="0" borderId="2" xfId="0" applyFont="1" applyBorder="1" applyAlignment="1">
      <alignment horizontal="center" vertical="center"/>
    </xf>
    <xf numFmtId="0" fontId="7" fillId="3" borderId="2" xfId="0" applyFont="1" applyFill="1" applyBorder="1" applyAlignment="1">
      <alignment horizontal="center" vertical="center"/>
    </xf>
    <xf numFmtId="0" fontId="4" fillId="0" borderId="0" xfId="0"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center" vertical="center" wrapText="1"/>
    </xf>
  </cellXfs>
  <cellStyles count="5">
    <cellStyle name="Bình thường" xfId="0" builtinId="0"/>
    <cellStyle name="Comma 2" xfId="1" xr:uid="{00000000-0005-0000-0000-000001000000}"/>
    <cellStyle name="Dấu phẩy" xfId="3" builtinId="3"/>
    <cellStyle name="Normal 2" xfId="2" xr:uid="{00000000-0005-0000-0000-000003000000}"/>
    <cellStyle name="Phần trăm" xfId="4" builtinId="5"/>
  </cellStyles>
  <dxfs count="4">
    <dxf>
      <font>
        <b/>
        <i val="0"/>
        <color rgb="FFFF0000"/>
      </font>
    </dxf>
    <dxf>
      <font>
        <b/>
        <i val="0"/>
        <color rgb="FFFF0000"/>
      </font>
    </dxf>
    <dxf>
      <numFmt numFmtId="1"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07"/>
  <sheetViews>
    <sheetView tabSelected="1" view="pageBreakPreview" topLeftCell="A186" zoomScale="85" zoomScaleNormal="85" zoomScaleSheetLayoutView="85" workbookViewId="0">
      <selection activeCell="F148" sqref="F148"/>
    </sheetView>
  </sheetViews>
  <sheetFormatPr defaultColWidth="8.9140625" defaultRowHeight="16.5" x14ac:dyDescent="0.3"/>
  <cols>
    <col min="1" max="1" width="9.4140625" style="1" customWidth="1"/>
    <col min="2" max="2" width="60.33203125" style="34" customWidth="1"/>
    <col min="3" max="3" width="11.33203125" style="35" customWidth="1"/>
    <col min="4" max="4" width="12.4140625" style="36" customWidth="1"/>
    <col min="5" max="5" width="18.08203125" style="36" bestFit="1" customWidth="1"/>
    <col min="6" max="6" width="22.6640625" style="36" bestFit="1" customWidth="1"/>
    <col min="7" max="7" width="16.6640625" style="49" bestFit="1" customWidth="1"/>
    <col min="8" max="8" width="17.9140625" style="1" bestFit="1" customWidth="1"/>
    <col min="9" max="9" width="9.4140625" style="1" customWidth="1"/>
    <col min="10" max="10" width="16.4140625" style="1" bestFit="1" customWidth="1"/>
    <col min="11" max="11" width="18.08203125" style="1" customWidth="1"/>
    <col min="12" max="12" width="15.6640625" style="1" customWidth="1"/>
    <col min="13" max="16384" width="8.9140625" style="1"/>
  </cols>
  <sheetData>
    <row r="1" spans="1:12" ht="20" x14ac:dyDescent="0.3">
      <c r="A1" s="93" t="s">
        <v>13</v>
      </c>
      <c r="B1" s="93"/>
      <c r="C1" s="93"/>
      <c r="D1" s="93"/>
      <c r="E1" s="93"/>
      <c r="F1" s="93"/>
      <c r="G1" s="93"/>
      <c r="H1" s="93"/>
      <c r="I1" s="93"/>
      <c r="J1" s="93"/>
      <c r="K1" s="93"/>
      <c r="L1" s="93"/>
    </row>
    <row r="2" spans="1:12" x14ac:dyDescent="0.3">
      <c r="A2" s="94" t="s">
        <v>219</v>
      </c>
      <c r="B2" s="94"/>
      <c r="C2" s="94"/>
      <c r="D2" s="94"/>
      <c r="E2" s="94"/>
      <c r="F2" s="94"/>
      <c r="G2" s="94"/>
      <c r="H2" s="94"/>
      <c r="I2" s="94"/>
      <c r="J2" s="94"/>
      <c r="K2" s="94"/>
      <c r="L2" s="94"/>
    </row>
    <row r="3" spans="1:12" x14ac:dyDescent="0.3">
      <c r="A3" s="94" t="s">
        <v>220</v>
      </c>
      <c r="B3" s="94"/>
      <c r="C3" s="94"/>
      <c r="D3" s="94"/>
      <c r="E3" s="94"/>
      <c r="F3" s="94"/>
      <c r="G3" s="94"/>
      <c r="H3" s="94"/>
      <c r="I3" s="94"/>
      <c r="J3" s="94"/>
      <c r="K3" s="94"/>
      <c r="L3" s="94"/>
    </row>
    <row r="4" spans="1:12" x14ac:dyDescent="0.3">
      <c r="A4" s="95" t="s">
        <v>221</v>
      </c>
      <c r="B4" s="95"/>
      <c r="C4" s="95"/>
      <c r="D4" s="95"/>
      <c r="E4" s="95"/>
      <c r="F4" s="95"/>
      <c r="G4" s="95"/>
      <c r="H4" s="95"/>
      <c r="I4" s="95"/>
      <c r="J4" s="95"/>
      <c r="K4" s="95"/>
      <c r="L4" s="95"/>
    </row>
    <row r="5" spans="1:12" x14ac:dyDescent="0.3">
      <c r="A5" s="2"/>
      <c r="B5" s="2"/>
      <c r="C5" s="2"/>
      <c r="D5" s="2"/>
      <c r="E5" s="3"/>
      <c r="F5" s="3"/>
      <c r="G5" s="3"/>
      <c r="H5" s="3"/>
      <c r="I5" s="3"/>
      <c r="J5" s="3"/>
      <c r="K5" s="3"/>
      <c r="L5" s="4"/>
    </row>
    <row r="6" spans="1:12" x14ac:dyDescent="0.3">
      <c r="A6" s="88" t="s">
        <v>4</v>
      </c>
      <c r="B6" s="88" t="s">
        <v>5</v>
      </c>
      <c r="C6" s="88" t="s">
        <v>7</v>
      </c>
      <c r="D6" s="88" t="s">
        <v>6</v>
      </c>
      <c r="E6" s="88" t="s">
        <v>1</v>
      </c>
      <c r="F6" s="88" t="s">
        <v>2</v>
      </c>
      <c r="G6" s="88" t="s">
        <v>3</v>
      </c>
      <c r="H6" s="88" t="s">
        <v>8</v>
      </c>
      <c r="I6" s="88" t="s">
        <v>9</v>
      </c>
      <c r="J6" s="88"/>
      <c r="K6" s="88" t="s">
        <v>12</v>
      </c>
      <c r="L6" s="88" t="s">
        <v>0</v>
      </c>
    </row>
    <row r="7" spans="1:12" x14ac:dyDescent="0.3">
      <c r="A7" s="88"/>
      <c r="B7" s="88"/>
      <c r="C7" s="88"/>
      <c r="D7" s="88"/>
      <c r="E7" s="88"/>
      <c r="F7" s="88"/>
      <c r="G7" s="88"/>
      <c r="H7" s="88"/>
      <c r="I7" s="5" t="s">
        <v>10</v>
      </c>
      <c r="J7" s="5" t="s">
        <v>11</v>
      </c>
      <c r="K7" s="88"/>
      <c r="L7" s="88"/>
    </row>
    <row r="8" spans="1:12" s="8" customFormat="1" x14ac:dyDescent="0.3">
      <c r="A8" s="89" t="s">
        <v>17</v>
      </c>
      <c r="B8" s="90"/>
      <c r="C8" s="52"/>
      <c r="D8" s="53"/>
      <c r="E8" s="53"/>
      <c r="F8" s="54"/>
      <c r="G8" s="53"/>
      <c r="H8" s="55"/>
      <c r="I8" s="56"/>
      <c r="J8" s="57"/>
      <c r="K8" s="57"/>
      <c r="L8" s="58"/>
    </row>
    <row r="9" spans="1:12" s="8" customFormat="1" ht="49.5" x14ac:dyDescent="0.3">
      <c r="A9" s="59" t="s">
        <v>18</v>
      </c>
      <c r="B9" s="60" t="s">
        <v>19</v>
      </c>
      <c r="C9" s="60"/>
      <c r="D9" s="59"/>
      <c r="E9" s="59"/>
      <c r="F9" s="61"/>
      <c r="G9" s="62"/>
      <c r="H9" s="63"/>
      <c r="I9" s="64"/>
      <c r="J9" s="65"/>
      <c r="K9" s="65"/>
      <c r="L9" s="66"/>
    </row>
    <row r="10" spans="1:12" s="8" customFormat="1" x14ac:dyDescent="0.3">
      <c r="A10" s="67" t="s">
        <v>20</v>
      </c>
      <c r="B10" s="68" t="s">
        <v>21</v>
      </c>
      <c r="C10" s="68"/>
      <c r="D10" s="67"/>
      <c r="E10" s="67"/>
      <c r="F10" s="6"/>
      <c r="G10" s="19"/>
      <c r="H10" s="16"/>
      <c r="I10" s="9"/>
      <c r="J10" s="51"/>
      <c r="K10" s="51"/>
      <c r="L10" s="7"/>
    </row>
    <row r="11" spans="1:12" s="8" customFormat="1" ht="33" x14ac:dyDescent="0.3">
      <c r="A11" s="69">
        <v>1</v>
      </c>
      <c r="B11" s="70" t="s">
        <v>22</v>
      </c>
      <c r="C11" s="71">
        <v>4</v>
      </c>
      <c r="D11" s="69" t="s">
        <v>150</v>
      </c>
      <c r="E11" s="69" t="s">
        <v>166</v>
      </c>
      <c r="F11" s="14" t="s">
        <v>222</v>
      </c>
      <c r="G11" s="19">
        <v>5418000</v>
      </c>
      <c r="H11" s="72">
        <v>21672000</v>
      </c>
      <c r="I11" s="9">
        <v>0.08</v>
      </c>
      <c r="J11" s="51">
        <f>H11*I11</f>
        <v>1733760</v>
      </c>
      <c r="K11" s="51">
        <f>H11+J11</f>
        <v>23405760</v>
      </c>
      <c r="L11" s="7"/>
    </row>
    <row r="12" spans="1:12" s="8" customFormat="1" x14ac:dyDescent="0.3">
      <c r="A12" s="69">
        <v>3</v>
      </c>
      <c r="B12" s="70" t="s">
        <v>23</v>
      </c>
      <c r="C12" s="71">
        <v>3</v>
      </c>
      <c r="D12" s="69" t="s">
        <v>150</v>
      </c>
      <c r="F12" s="69" t="s">
        <v>167</v>
      </c>
      <c r="G12" s="19">
        <v>6860000</v>
      </c>
      <c r="H12" s="72">
        <v>20580000</v>
      </c>
      <c r="I12" s="9">
        <v>0.08</v>
      </c>
      <c r="J12" s="51">
        <f t="shared" ref="J12:J74" si="0">H12*I12</f>
        <v>1646400</v>
      </c>
      <c r="K12" s="51">
        <f t="shared" ref="K12:K74" si="1">H12+J12</f>
        <v>22226400</v>
      </c>
      <c r="L12" s="7"/>
    </row>
    <row r="13" spans="1:12" s="8" customFormat="1" x14ac:dyDescent="0.3">
      <c r="A13" s="69">
        <v>4</v>
      </c>
      <c r="B13" s="70" t="s">
        <v>24</v>
      </c>
      <c r="C13" s="71">
        <v>2</v>
      </c>
      <c r="D13" s="69" t="s">
        <v>150</v>
      </c>
      <c r="F13" s="69" t="s">
        <v>167</v>
      </c>
      <c r="G13" s="19">
        <v>4480000</v>
      </c>
      <c r="H13" s="72">
        <v>8960000</v>
      </c>
      <c r="I13" s="9">
        <v>0.08</v>
      </c>
      <c r="J13" s="51">
        <f t="shared" si="0"/>
        <v>716800</v>
      </c>
      <c r="K13" s="51">
        <f t="shared" si="1"/>
        <v>9676800</v>
      </c>
      <c r="L13" s="7"/>
    </row>
    <row r="14" spans="1:12" s="8" customFormat="1" x14ac:dyDescent="0.3">
      <c r="A14" s="69">
        <v>8</v>
      </c>
      <c r="B14" s="70" t="s">
        <v>25</v>
      </c>
      <c r="C14" s="71">
        <v>1</v>
      </c>
      <c r="D14" s="69" t="s">
        <v>150</v>
      </c>
      <c r="E14" s="69"/>
      <c r="F14" s="6"/>
      <c r="G14" s="19">
        <v>489999.99999999994</v>
      </c>
      <c r="H14" s="72">
        <v>489999.99999999994</v>
      </c>
      <c r="I14" s="9">
        <v>0.08</v>
      </c>
      <c r="J14" s="51">
        <f t="shared" si="0"/>
        <v>39199.999999999993</v>
      </c>
      <c r="K14" s="51">
        <f t="shared" si="1"/>
        <v>529199.99999999988</v>
      </c>
      <c r="L14" s="7"/>
    </row>
    <row r="15" spans="1:12" s="8" customFormat="1" x14ac:dyDescent="0.3">
      <c r="A15" s="69">
        <v>10</v>
      </c>
      <c r="B15" s="70" t="s">
        <v>26</v>
      </c>
      <c r="C15" s="71">
        <v>6</v>
      </c>
      <c r="D15" s="69" t="s">
        <v>151</v>
      </c>
      <c r="E15" s="69"/>
      <c r="F15" s="6"/>
      <c r="G15" s="19">
        <v>308000</v>
      </c>
      <c r="H15" s="72">
        <v>1848000</v>
      </c>
      <c r="I15" s="9">
        <v>0.08</v>
      </c>
      <c r="J15" s="51">
        <f t="shared" si="0"/>
        <v>147840</v>
      </c>
      <c r="K15" s="51">
        <f t="shared" si="1"/>
        <v>1995840</v>
      </c>
      <c r="L15" s="7"/>
    </row>
    <row r="16" spans="1:12" s="8" customFormat="1" x14ac:dyDescent="0.3">
      <c r="A16" s="69">
        <v>11</v>
      </c>
      <c r="B16" s="70" t="s">
        <v>27</v>
      </c>
      <c r="C16" s="71">
        <v>4</v>
      </c>
      <c r="D16" s="69" t="s">
        <v>151</v>
      </c>
      <c r="E16" s="69"/>
      <c r="F16" s="6"/>
      <c r="G16" s="19">
        <v>251999.99999999997</v>
      </c>
      <c r="H16" s="72">
        <v>1007999.9999999999</v>
      </c>
      <c r="I16" s="9">
        <v>0.08</v>
      </c>
      <c r="J16" s="51">
        <f t="shared" si="0"/>
        <v>80639.999999999985</v>
      </c>
      <c r="K16" s="51">
        <f t="shared" si="1"/>
        <v>1088639.9999999998</v>
      </c>
      <c r="L16" s="7"/>
    </row>
    <row r="17" spans="1:12" s="8" customFormat="1" x14ac:dyDescent="0.3">
      <c r="A17" s="69">
        <v>12</v>
      </c>
      <c r="B17" s="70" t="s">
        <v>28</v>
      </c>
      <c r="C17" s="71">
        <v>10</v>
      </c>
      <c r="D17" s="69" t="s">
        <v>152</v>
      </c>
      <c r="E17" s="69"/>
      <c r="F17" s="6"/>
      <c r="G17" s="19">
        <v>49000</v>
      </c>
      <c r="H17" s="72">
        <v>490000</v>
      </c>
      <c r="I17" s="9">
        <v>0.08</v>
      </c>
      <c r="J17" s="51">
        <f t="shared" si="0"/>
        <v>39200</v>
      </c>
      <c r="K17" s="51">
        <f t="shared" si="1"/>
        <v>529200</v>
      </c>
      <c r="L17" s="7"/>
    </row>
    <row r="18" spans="1:12" s="8" customFormat="1" ht="66" x14ac:dyDescent="0.3">
      <c r="A18" s="69">
        <v>13</v>
      </c>
      <c r="B18" s="70" t="s">
        <v>29</v>
      </c>
      <c r="C18" s="71">
        <v>0.04</v>
      </c>
      <c r="D18" s="69" t="s">
        <v>153</v>
      </c>
      <c r="E18" s="69"/>
      <c r="F18" s="6"/>
      <c r="G18" s="19">
        <v>91000000</v>
      </c>
      <c r="H18" s="72">
        <v>3640000</v>
      </c>
      <c r="I18" s="9">
        <v>0.08</v>
      </c>
      <c r="J18" s="51">
        <f t="shared" si="0"/>
        <v>291200</v>
      </c>
      <c r="K18" s="51">
        <f t="shared" si="1"/>
        <v>3931200</v>
      </c>
      <c r="L18" s="7"/>
    </row>
    <row r="19" spans="1:12" s="8" customFormat="1" x14ac:dyDescent="0.3">
      <c r="A19" s="69">
        <v>14</v>
      </c>
      <c r="B19" s="70" t="s">
        <v>30</v>
      </c>
      <c r="C19" s="71">
        <f>C18</f>
        <v>0.04</v>
      </c>
      <c r="D19" s="69" t="s">
        <v>154</v>
      </c>
      <c r="E19" s="69"/>
      <c r="F19" s="6"/>
      <c r="G19" s="19">
        <v>6300000</v>
      </c>
      <c r="H19" s="72">
        <v>252000</v>
      </c>
      <c r="I19" s="9">
        <v>0.08</v>
      </c>
      <c r="J19" s="51">
        <f t="shared" si="0"/>
        <v>20160</v>
      </c>
      <c r="K19" s="51">
        <f t="shared" si="1"/>
        <v>272160</v>
      </c>
      <c r="L19" s="7"/>
    </row>
    <row r="20" spans="1:12" s="8" customFormat="1" ht="33" x14ac:dyDescent="0.3">
      <c r="A20" s="69">
        <v>15</v>
      </c>
      <c r="B20" s="70" t="s">
        <v>31</v>
      </c>
      <c r="C20" s="71">
        <v>100</v>
      </c>
      <c r="D20" s="69" t="s">
        <v>155</v>
      </c>
      <c r="F20" s="69" t="s">
        <v>168</v>
      </c>
      <c r="G20" s="19">
        <v>77000</v>
      </c>
      <c r="H20" s="72">
        <v>7700000</v>
      </c>
      <c r="I20" s="9">
        <v>0.08</v>
      </c>
      <c r="J20" s="51">
        <f t="shared" si="0"/>
        <v>616000</v>
      </c>
      <c r="K20" s="51">
        <f t="shared" si="1"/>
        <v>8316000</v>
      </c>
      <c r="L20" s="7"/>
    </row>
    <row r="21" spans="1:12" s="8" customFormat="1" x14ac:dyDescent="0.3">
      <c r="A21" s="69">
        <v>16</v>
      </c>
      <c r="B21" s="70" t="s">
        <v>32</v>
      </c>
      <c r="C21" s="71">
        <v>0.5</v>
      </c>
      <c r="D21" s="69" t="s">
        <v>156</v>
      </c>
      <c r="F21" s="69" t="s">
        <v>169</v>
      </c>
      <c r="G21" s="19">
        <v>3080000</v>
      </c>
      <c r="H21" s="72">
        <v>1540000</v>
      </c>
      <c r="I21" s="9">
        <v>0.08</v>
      </c>
      <c r="J21" s="51">
        <f t="shared" si="0"/>
        <v>123200</v>
      </c>
      <c r="K21" s="51">
        <f t="shared" si="1"/>
        <v>1663200</v>
      </c>
      <c r="L21" s="7"/>
    </row>
    <row r="22" spans="1:12" s="8" customFormat="1" x14ac:dyDescent="0.3">
      <c r="A22" s="69">
        <v>17</v>
      </c>
      <c r="B22" s="70" t="s">
        <v>33</v>
      </c>
      <c r="C22" s="71">
        <v>12</v>
      </c>
      <c r="D22" s="69" t="s">
        <v>150</v>
      </c>
      <c r="F22" s="69" t="s">
        <v>169</v>
      </c>
      <c r="G22" s="19">
        <v>25200</v>
      </c>
      <c r="H22" s="72">
        <v>302400</v>
      </c>
      <c r="I22" s="9">
        <v>0.08</v>
      </c>
      <c r="J22" s="51">
        <f t="shared" si="0"/>
        <v>24192</v>
      </c>
      <c r="K22" s="51">
        <f t="shared" si="1"/>
        <v>326592</v>
      </c>
      <c r="L22" s="7"/>
    </row>
    <row r="23" spans="1:12" s="8" customFormat="1" x14ac:dyDescent="0.3">
      <c r="A23" s="69">
        <v>18</v>
      </c>
      <c r="B23" s="70" t="s">
        <v>34</v>
      </c>
      <c r="C23" s="71">
        <v>1</v>
      </c>
      <c r="D23" s="69" t="s">
        <v>157</v>
      </c>
      <c r="F23" s="69" t="s">
        <v>170</v>
      </c>
      <c r="G23" s="19">
        <v>770000</v>
      </c>
      <c r="H23" s="72">
        <v>770000</v>
      </c>
      <c r="I23" s="9">
        <v>0.08</v>
      </c>
      <c r="J23" s="51">
        <f t="shared" si="0"/>
        <v>61600</v>
      </c>
      <c r="K23" s="51">
        <f t="shared" si="1"/>
        <v>831600</v>
      </c>
      <c r="L23" s="7"/>
    </row>
    <row r="24" spans="1:12" s="8" customFormat="1" x14ac:dyDescent="0.3">
      <c r="A24" s="69">
        <v>19</v>
      </c>
      <c r="B24" s="70" t="s">
        <v>35</v>
      </c>
      <c r="C24" s="71">
        <v>2</v>
      </c>
      <c r="D24" s="69" t="s">
        <v>157</v>
      </c>
      <c r="F24" s="69" t="s">
        <v>170</v>
      </c>
      <c r="G24" s="19">
        <v>910000</v>
      </c>
      <c r="H24" s="72">
        <v>1820000</v>
      </c>
      <c r="I24" s="9">
        <v>0.08</v>
      </c>
      <c r="J24" s="51">
        <f t="shared" si="0"/>
        <v>145600</v>
      </c>
      <c r="K24" s="51">
        <f t="shared" si="1"/>
        <v>1965600</v>
      </c>
      <c r="L24" s="7"/>
    </row>
    <row r="25" spans="1:12" s="8" customFormat="1" x14ac:dyDescent="0.3">
      <c r="A25" s="69">
        <v>20</v>
      </c>
      <c r="B25" s="70" t="s">
        <v>36</v>
      </c>
      <c r="C25" s="71">
        <v>60</v>
      </c>
      <c r="D25" s="69" t="s">
        <v>155</v>
      </c>
      <c r="E25" s="69"/>
      <c r="F25" s="6"/>
      <c r="G25" s="19">
        <v>0</v>
      </c>
      <c r="H25" s="72">
        <v>0</v>
      </c>
      <c r="I25" s="9">
        <v>0.08</v>
      </c>
      <c r="J25" s="51">
        <f t="shared" si="0"/>
        <v>0</v>
      </c>
      <c r="K25" s="51">
        <f t="shared" si="1"/>
        <v>0</v>
      </c>
      <c r="L25" s="7"/>
    </row>
    <row r="26" spans="1:12" s="8" customFormat="1" x14ac:dyDescent="0.3">
      <c r="A26" s="69">
        <v>21</v>
      </c>
      <c r="B26" s="70" t="s">
        <v>37</v>
      </c>
      <c r="C26" s="71">
        <v>30</v>
      </c>
      <c r="D26" s="69" t="s">
        <v>158</v>
      </c>
      <c r="E26" s="69"/>
      <c r="F26" s="6"/>
      <c r="G26" s="19">
        <v>0</v>
      </c>
      <c r="H26" s="72">
        <v>0</v>
      </c>
      <c r="I26" s="9">
        <v>0.08</v>
      </c>
      <c r="J26" s="51">
        <f t="shared" si="0"/>
        <v>0</v>
      </c>
      <c r="K26" s="51">
        <f t="shared" si="1"/>
        <v>0</v>
      </c>
      <c r="L26" s="7"/>
    </row>
    <row r="27" spans="1:12" s="8" customFormat="1" x14ac:dyDescent="0.3">
      <c r="A27" s="69">
        <v>22</v>
      </c>
      <c r="B27" s="70" t="s">
        <v>38</v>
      </c>
      <c r="C27" s="71">
        <v>15</v>
      </c>
      <c r="D27" s="69" t="s">
        <v>159</v>
      </c>
      <c r="E27" s="69"/>
      <c r="F27" s="6"/>
      <c r="G27" s="19">
        <v>0</v>
      </c>
      <c r="H27" s="72">
        <v>0</v>
      </c>
      <c r="I27" s="9">
        <v>0.08</v>
      </c>
      <c r="J27" s="51">
        <f t="shared" si="0"/>
        <v>0</v>
      </c>
      <c r="K27" s="51">
        <f t="shared" si="1"/>
        <v>0</v>
      </c>
      <c r="L27" s="7"/>
    </row>
    <row r="28" spans="1:12" s="8" customFormat="1" ht="33" x14ac:dyDescent="0.3">
      <c r="A28" s="69">
        <v>23</v>
      </c>
      <c r="B28" s="70" t="s">
        <v>39</v>
      </c>
      <c r="C28" s="71">
        <v>2</v>
      </c>
      <c r="D28" s="69" t="s">
        <v>160</v>
      </c>
      <c r="E28" s="69"/>
      <c r="F28" s="6"/>
      <c r="G28" s="19">
        <v>0</v>
      </c>
      <c r="H28" s="72"/>
      <c r="I28" s="9">
        <v>0.08</v>
      </c>
      <c r="J28" s="51">
        <f t="shared" si="0"/>
        <v>0</v>
      </c>
      <c r="K28" s="51">
        <f t="shared" si="1"/>
        <v>0</v>
      </c>
      <c r="L28" s="7"/>
    </row>
    <row r="29" spans="1:12" s="8" customFormat="1" x14ac:dyDescent="0.3">
      <c r="A29" s="69"/>
      <c r="B29" s="70" t="s">
        <v>40</v>
      </c>
      <c r="C29" s="71"/>
      <c r="D29" s="69"/>
      <c r="E29" s="69"/>
      <c r="F29" s="6"/>
      <c r="G29" s="19"/>
      <c r="H29" s="72">
        <v>25000000</v>
      </c>
      <c r="I29" s="9">
        <v>0.08</v>
      </c>
      <c r="J29" s="51">
        <f t="shared" si="0"/>
        <v>2000000</v>
      </c>
      <c r="K29" s="51">
        <f t="shared" si="1"/>
        <v>27000000</v>
      </c>
      <c r="L29" s="7"/>
    </row>
    <row r="30" spans="1:12" s="8" customFormat="1" x14ac:dyDescent="0.3">
      <c r="A30" s="67" t="s">
        <v>41</v>
      </c>
      <c r="B30" s="68" t="s">
        <v>42</v>
      </c>
      <c r="C30" s="68"/>
      <c r="D30" s="67"/>
      <c r="E30" s="67"/>
      <c r="F30" s="6"/>
      <c r="G30" s="19"/>
      <c r="H30" s="72"/>
      <c r="I30" s="9"/>
      <c r="J30" s="51"/>
      <c r="K30" s="51"/>
      <c r="L30" s="7"/>
    </row>
    <row r="31" spans="1:12" s="8" customFormat="1" x14ac:dyDescent="0.3">
      <c r="A31" s="67" t="s">
        <v>43</v>
      </c>
      <c r="B31" s="68" t="s">
        <v>44</v>
      </c>
      <c r="C31" s="68"/>
      <c r="D31" s="67"/>
      <c r="E31" s="67"/>
      <c r="F31" s="6"/>
      <c r="G31" s="19"/>
      <c r="H31" s="72"/>
      <c r="I31" s="9"/>
      <c r="J31" s="51"/>
      <c r="K31" s="51"/>
      <c r="L31" s="7"/>
    </row>
    <row r="32" spans="1:12" s="8" customFormat="1" x14ac:dyDescent="0.3">
      <c r="A32" s="69"/>
      <c r="B32" s="70" t="s">
        <v>45</v>
      </c>
      <c r="C32" s="71">
        <v>1</v>
      </c>
      <c r="D32" s="69"/>
      <c r="F32" s="69" t="s">
        <v>167</v>
      </c>
      <c r="G32" s="19">
        <v>3080000</v>
      </c>
      <c r="H32" s="72">
        <v>3080000</v>
      </c>
      <c r="I32" s="9">
        <v>0.08</v>
      </c>
      <c r="J32" s="51">
        <f t="shared" si="0"/>
        <v>246400</v>
      </c>
      <c r="K32" s="51">
        <f t="shared" si="1"/>
        <v>3326400</v>
      </c>
      <c r="L32" s="7"/>
    </row>
    <row r="33" spans="1:12" s="8" customFormat="1" x14ac:dyDescent="0.3">
      <c r="A33" s="69">
        <v>3</v>
      </c>
      <c r="B33" s="70" t="s">
        <v>46</v>
      </c>
      <c r="C33" s="71">
        <v>1</v>
      </c>
      <c r="D33" s="69" t="s">
        <v>150</v>
      </c>
      <c r="F33" s="69" t="s">
        <v>167</v>
      </c>
      <c r="G33" s="19">
        <v>2240000</v>
      </c>
      <c r="H33" s="72">
        <v>2240000</v>
      </c>
      <c r="I33" s="9">
        <v>0.08</v>
      </c>
      <c r="J33" s="51">
        <f t="shared" si="0"/>
        <v>179200</v>
      </c>
      <c r="K33" s="51">
        <f t="shared" si="1"/>
        <v>2419200</v>
      </c>
      <c r="L33" s="7"/>
    </row>
    <row r="34" spans="1:12" s="8" customFormat="1" x14ac:dyDescent="0.3">
      <c r="A34" s="69"/>
      <c r="B34" s="70" t="s">
        <v>47</v>
      </c>
      <c r="C34" s="71">
        <v>0.03</v>
      </c>
      <c r="D34" s="69" t="s">
        <v>156</v>
      </c>
      <c r="F34" s="69" t="s">
        <v>171</v>
      </c>
      <c r="G34" s="19">
        <v>39200000</v>
      </c>
      <c r="H34" s="72">
        <v>1176000</v>
      </c>
      <c r="I34" s="9">
        <v>0.08</v>
      </c>
      <c r="J34" s="51">
        <f t="shared" si="0"/>
        <v>94080</v>
      </c>
      <c r="K34" s="51">
        <f t="shared" si="1"/>
        <v>1270080</v>
      </c>
      <c r="L34" s="7"/>
    </row>
    <row r="35" spans="1:12" s="8" customFormat="1" x14ac:dyDescent="0.3">
      <c r="A35" s="69">
        <v>8</v>
      </c>
      <c r="B35" s="70" t="s">
        <v>48</v>
      </c>
      <c r="C35" s="71">
        <v>0.03</v>
      </c>
      <c r="D35" s="69" t="s">
        <v>156</v>
      </c>
      <c r="F35" s="69" t="s">
        <v>171</v>
      </c>
      <c r="G35" s="19">
        <v>25200000</v>
      </c>
      <c r="H35" s="72">
        <v>756000</v>
      </c>
      <c r="I35" s="9">
        <v>0.08</v>
      </c>
      <c r="J35" s="51">
        <f t="shared" si="0"/>
        <v>60480</v>
      </c>
      <c r="K35" s="51">
        <f t="shared" si="1"/>
        <v>816480</v>
      </c>
      <c r="L35" s="7"/>
    </row>
    <row r="36" spans="1:12" s="8" customFormat="1" x14ac:dyDescent="0.3">
      <c r="A36" s="69">
        <v>14</v>
      </c>
      <c r="B36" s="70" t="s">
        <v>49</v>
      </c>
      <c r="C36" s="71">
        <v>1</v>
      </c>
      <c r="D36" s="69" t="s">
        <v>150</v>
      </c>
      <c r="F36" s="69"/>
      <c r="G36" s="19">
        <v>0</v>
      </c>
      <c r="H36" s="72">
        <v>0</v>
      </c>
      <c r="I36" s="9">
        <v>0.08</v>
      </c>
      <c r="J36" s="51">
        <f t="shared" si="0"/>
        <v>0</v>
      </c>
      <c r="K36" s="51">
        <f t="shared" si="1"/>
        <v>0</v>
      </c>
      <c r="L36" s="7"/>
    </row>
    <row r="37" spans="1:12" s="8" customFormat="1" x14ac:dyDescent="0.3">
      <c r="A37" s="69">
        <v>15</v>
      </c>
      <c r="B37" s="70" t="s">
        <v>50</v>
      </c>
      <c r="C37" s="71">
        <v>1</v>
      </c>
      <c r="D37" s="69" t="s">
        <v>150</v>
      </c>
      <c r="F37" s="69"/>
      <c r="G37" s="19">
        <v>0</v>
      </c>
      <c r="H37" s="72">
        <v>0</v>
      </c>
      <c r="I37" s="9">
        <v>0.08</v>
      </c>
      <c r="J37" s="51">
        <f t="shared" si="0"/>
        <v>0</v>
      </c>
      <c r="K37" s="51">
        <f t="shared" si="1"/>
        <v>0</v>
      </c>
      <c r="L37" s="7"/>
    </row>
    <row r="38" spans="1:12" s="8" customFormat="1" x14ac:dyDescent="0.3">
      <c r="A38" s="69"/>
      <c r="B38" s="70" t="s">
        <v>51</v>
      </c>
      <c r="C38" s="71">
        <v>1</v>
      </c>
      <c r="D38" s="69"/>
      <c r="F38" s="69"/>
      <c r="G38" s="19">
        <v>392000</v>
      </c>
      <c r="H38" s="72">
        <v>392000</v>
      </c>
      <c r="I38" s="9">
        <v>0.08</v>
      </c>
      <c r="J38" s="51">
        <f t="shared" si="0"/>
        <v>31360</v>
      </c>
      <c r="K38" s="51">
        <f t="shared" si="1"/>
        <v>423360</v>
      </c>
      <c r="L38" s="7"/>
    </row>
    <row r="39" spans="1:12" s="8" customFormat="1" x14ac:dyDescent="0.3">
      <c r="A39" s="69">
        <v>20</v>
      </c>
      <c r="B39" s="70" t="s">
        <v>52</v>
      </c>
      <c r="C39" s="71">
        <v>1</v>
      </c>
      <c r="D39" s="69" t="s">
        <v>150</v>
      </c>
      <c r="F39" s="69"/>
      <c r="G39" s="19">
        <v>0</v>
      </c>
      <c r="H39" s="72">
        <v>0</v>
      </c>
      <c r="I39" s="9">
        <v>0.08</v>
      </c>
      <c r="J39" s="51">
        <f t="shared" si="0"/>
        <v>0</v>
      </c>
      <c r="K39" s="51">
        <f t="shared" si="1"/>
        <v>0</v>
      </c>
      <c r="L39" s="7"/>
    </row>
    <row r="40" spans="1:12" s="8" customFormat="1" x14ac:dyDescent="0.3">
      <c r="A40" s="69">
        <v>22</v>
      </c>
      <c r="B40" s="70" t="s">
        <v>53</v>
      </c>
      <c r="C40" s="71">
        <v>8</v>
      </c>
      <c r="D40" s="69" t="s">
        <v>151</v>
      </c>
      <c r="F40" s="69"/>
      <c r="G40" s="19">
        <v>109200</v>
      </c>
      <c r="H40" s="72">
        <v>873600</v>
      </c>
      <c r="I40" s="9">
        <v>0.08</v>
      </c>
      <c r="J40" s="51">
        <f t="shared" si="0"/>
        <v>69888</v>
      </c>
      <c r="K40" s="51">
        <f t="shared" si="1"/>
        <v>943488</v>
      </c>
      <c r="L40" s="7"/>
    </row>
    <row r="41" spans="1:12" s="8" customFormat="1" ht="66" x14ac:dyDescent="0.3">
      <c r="A41" s="69">
        <v>24</v>
      </c>
      <c r="B41" s="70" t="s">
        <v>54</v>
      </c>
      <c r="C41" s="71">
        <v>2E-3</v>
      </c>
      <c r="D41" s="69" t="s">
        <v>153</v>
      </c>
      <c r="F41" s="69" t="s">
        <v>170</v>
      </c>
      <c r="G41" s="19">
        <v>91000000</v>
      </c>
      <c r="H41" s="72">
        <v>182000</v>
      </c>
      <c r="I41" s="9">
        <v>0.08</v>
      </c>
      <c r="J41" s="51">
        <f t="shared" si="0"/>
        <v>14560</v>
      </c>
      <c r="K41" s="51">
        <f t="shared" si="1"/>
        <v>196560</v>
      </c>
      <c r="L41" s="7"/>
    </row>
    <row r="42" spans="1:12" s="8" customFormat="1" x14ac:dyDescent="0.3">
      <c r="A42" s="69">
        <v>25</v>
      </c>
      <c r="B42" s="70" t="s">
        <v>55</v>
      </c>
      <c r="C42" s="71">
        <v>2E-3</v>
      </c>
      <c r="D42" s="69" t="s">
        <v>153</v>
      </c>
      <c r="E42" s="69"/>
      <c r="F42" s="6"/>
      <c r="G42" s="19">
        <v>6300000</v>
      </c>
      <c r="H42" s="72">
        <v>12600</v>
      </c>
      <c r="I42" s="9">
        <v>0.08</v>
      </c>
      <c r="J42" s="51">
        <f t="shared" si="0"/>
        <v>1008</v>
      </c>
      <c r="K42" s="51">
        <f t="shared" si="1"/>
        <v>13608</v>
      </c>
      <c r="L42" s="7"/>
    </row>
    <row r="43" spans="1:12" s="8" customFormat="1" x14ac:dyDescent="0.3">
      <c r="A43" s="69">
        <v>26</v>
      </c>
      <c r="B43" s="70" t="s">
        <v>28</v>
      </c>
      <c r="C43" s="71">
        <v>12</v>
      </c>
      <c r="D43" s="69" t="s">
        <v>152</v>
      </c>
      <c r="E43" s="69"/>
      <c r="F43" s="6"/>
      <c r="G43" s="19">
        <v>42000</v>
      </c>
      <c r="H43" s="72">
        <v>504000</v>
      </c>
      <c r="I43" s="9">
        <v>0.08</v>
      </c>
      <c r="J43" s="51">
        <f t="shared" si="0"/>
        <v>40320</v>
      </c>
      <c r="K43" s="51">
        <f t="shared" si="1"/>
        <v>544320</v>
      </c>
      <c r="L43" s="7"/>
    </row>
    <row r="44" spans="1:12" s="8" customFormat="1" x14ac:dyDescent="0.3">
      <c r="A44" s="69">
        <v>29</v>
      </c>
      <c r="B44" s="70" t="s">
        <v>36</v>
      </c>
      <c r="C44" s="71">
        <v>40</v>
      </c>
      <c r="D44" s="69" t="s">
        <v>155</v>
      </c>
      <c r="E44" s="69"/>
      <c r="F44" s="6"/>
      <c r="G44" s="19">
        <v>0</v>
      </c>
      <c r="H44" s="72">
        <v>0</v>
      </c>
      <c r="I44" s="9">
        <v>0.08</v>
      </c>
      <c r="J44" s="51">
        <f t="shared" si="0"/>
        <v>0</v>
      </c>
      <c r="K44" s="51">
        <f t="shared" si="1"/>
        <v>0</v>
      </c>
      <c r="L44" s="7"/>
    </row>
    <row r="45" spans="1:12" s="8" customFormat="1" x14ac:dyDescent="0.3">
      <c r="A45" s="69">
        <v>30</v>
      </c>
      <c r="B45" s="70" t="s">
        <v>37</v>
      </c>
      <c r="C45" s="71">
        <v>12</v>
      </c>
      <c r="D45" s="69" t="s">
        <v>158</v>
      </c>
      <c r="E45" s="69"/>
      <c r="F45" s="6"/>
      <c r="G45" s="19">
        <v>0</v>
      </c>
      <c r="H45" s="72">
        <v>0</v>
      </c>
      <c r="I45" s="9">
        <v>0.08</v>
      </c>
      <c r="J45" s="51">
        <f t="shared" si="0"/>
        <v>0</v>
      </c>
      <c r="K45" s="51">
        <f t="shared" si="1"/>
        <v>0</v>
      </c>
      <c r="L45" s="7"/>
    </row>
    <row r="46" spans="1:12" s="8" customFormat="1" x14ac:dyDescent="0.3">
      <c r="A46" s="69"/>
      <c r="B46" s="70" t="s">
        <v>56</v>
      </c>
      <c r="C46" s="71"/>
      <c r="D46" s="69"/>
      <c r="E46" s="69"/>
      <c r="F46" s="6"/>
      <c r="G46" s="19"/>
      <c r="H46" s="72">
        <v>15000000</v>
      </c>
      <c r="I46" s="9">
        <v>0.08</v>
      </c>
      <c r="J46" s="51">
        <f t="shared" si="0"/>
        <v>1200000</v>
      </c>
      <c r="K46" s="51">
        <f t="shared" si="1"/>
        <v>16200000</v>
      </c>
      <c r="L46" s="7"/>
    </row>
    <row r="47" spans="1:12" s="8" customFormat="1" x14ac:dyDescent="0.3">
      <c r="A47" s="67" t="s">
        <v>57</v>
      </c>
      <c r="B47" s="68" t="s">
        <v>58</v>
      </c>
      <c r="C47" s="68"/>
      <c r="D47" s="67"/>
      <c r="E47" s="67"/>
      <c r="F47" s="6"/>
      <c r="G47" s="19"/>
      <c r="H47" s="72"/>
      <c r="I47" s="9"/>
      <c r="J47" s="51"/>
      <c r="K47" s="51"/>
      <c r="L47" s="7"/>
    </row>
    <row r="48" spans="1:12" s="8" customFormat="1" ht="49.5" x14ac:dyDescent="0.3">
      <c r="A48" s="69">
        <v>1</v>
      </c>
      <c r="B48" s="70" t="s">
        <v>59</v>
      </c>
      <c r="C48" s="71">
        <v>0.4</v>
      </c>
      <c r="D48" s="69" t="s">
        <v>161</v>
      </c>
      <c r="E48" s="69" t="s">
        <v>224</v>
      </c>
      <c r="F48" s="14" t="s">
        <v>223</v>
      </c>
      <c r="G48" s="19">
        <v>96600000</v>
      </c>
      <c r="H48" s="72">
        <v>38640000</v>
      </c>
      <c r="I48" s="9">
        <v>0.08</v>
      </c>
      <c r="J48" s="51">
        <f t="shared" si="0"/>
        <v>3091200</v>
      </c>
      <c r="K48" s="51">
        <f t="shared" si="1"/>
        <v>41731200</v>
      </c>
      <c r="L48" s="7"/>
    </row>
    <row r="49" spans="1:12" s="8" customFormat="1" x14ac:dyDescent="0.3">
      <c r="A49" s="69">
        <v>2</v>
      </c>
      <c r="B49" s="70" t="s">
        <v>60</v>
      </c>
      <c r="C49" s="71">
        <v>2</v>
      </c>
      <c r="D49" s="69" t="s">
        <v>158</v>
      </c>
      <c r="E49" s="69" t="s">
        <v>226</v>
      </c>
      <c r="F49" s="14" t="s">
        <v>225</v>
      </c>
      <c r="G49" s="19">
        <v>2029999.9999999998</v>
      </c>
      <c r="H49" s="72">
        <v>4059999.9999999995</v>
      </c>
      <c r="I49" s="9">
        <v>0.08</v>
      </c>
      <c r="J49" s="51">
        <f t="shared" si="0"/>
        <v>324799.99999999994</v>
      </c>
      <c r="K49" s="51">
        <f t="shared" si="1"/>
        <v>4384799.9999999991</v>
      </c>
      <c r="L49" s="7"/>
    </row>
    <row r="50" spans="1:12" s="8" customFormat="1" ht="33" x14ac:dyDescent="0.3">
      <c r="A50" s="69">
        <v>3</v>
      </c>
      <c r="B50" s="70" t="s">
        <v>61</v>
      </c>
      <c r="C50" s="71">
        <v>3</v>
      </c>
      <c r="D50" s="69" t="s">
        <v>158</v>
      </c>
      <c r="E50" s="69" t="str">
        <f>E71</f>
        <v xml:space="preserve">DCP-CZM </v>
      </c>
      <c r="F50" s="14" t="s">
        <v>225</v>
      </c>
      <c r="G50" s="19">
        <v>1750000</v>
      </c>
      <c r="H50" s="72">
        <v>5250000</v>
      </c>
      <c r="I50" s="9">
        <v>0.08</v>
      </c>
      <c r="J50" s="51">
        <f t="shared" si="0"/>
        <v>420000</v>
      </c>
      <c r="K50" s="51">
        <f t="shared" si="1"/>
        <v>5670000</v>
      </c>
      <c r="L50" s="7"/>
    </row>
    <row r="51" spans="1:12" s="8" customFormat="1" ht="33" x14ac:dyDescent="0.3">
      <c r="A51" s="69">
        <v>4</v>
      </c>
      <c r="B51" s="70" t="s">
        <v>62</v>
      </c>
      <c r="C51" s="71">
        <v>2</v>
      </c>
      <c r="D51" s="69" t="s">
        <v>158</v>
      </c>
      <c r="E51" s="69" t="str">
        <f>E107</f>
        <v>DCP-SCI - Hochiki/ USA</v>
      </c>
      <c r="F51" s="14" t="s">
        <v>225</v>
      </c>
      <c r="G51" s="19">
        <v>1330000</v>
      </c>
      <c r="H51" s="72">
        <v>2660000</v>
      </c>
      <c r="I51" s="9">
        <v>0.08</v>
      </c>
      <c r="J51" s="51">
        <f t="shared" si="0"/>
        <v>212800</v>
      </c>
      <c r="K51" s="51">
        <f t="shared" si="1"/>
        <v>2872800</v>
      </c>
      <c r="L51" s="7"/>
    </row>
    <row r="52" spans="1:12" s="8" customFormat="1" ht="33" x14ac:dyDescent="0.3">
      <c r="A52" s="69">
        <v>5</v>
      </c>
      <c r="B52" s="70" t="s">
        <v>31</v>
      </c>
      <c r="C52" s="71">
        <v>400</v>
      </c>
      <c r="D52" s="69" t="s">
        <v>155</v>
      </c>
      <c r="E52" s="69"/>
      <c r="F52" s="6"/>
      <c r="G52" s="19">
        <v>77000</v>
      </c>
      <c r="H52" s="72">
        <v>30800000</v>
      </c>
      <c r="I52" s="9">
        <v>0.08</v>
      </c>
      <c r="J52" s="51">
        <f t="shared" si="0"/>
        <v>2464000</v>
      </c>
      <c r="K52" s="51">
        <f t="shared" si="1"/>
        <v>33264000</v>
      </c>
      <c r="L52" s="7"/>
    </row>
    <row r="53" spans="1:12" s="8" customFormat="1" x14ac:dyDescent="0.3">
      <c r="A53" s="69">
        <v>6</v>
      </c>
      <c r="B53" s="70" t="s">
        <v>63</v>
      </c>
      <c r="C53" s="71">
        <v>0.4</v>
      </c>
      <c r="D53" s="69" t="s">
        <v>156</v>
      </c>
      <c r="E53" s="69"/>
      <c r="F53" s="6"/>
      <c r="G53" s="19">
        <v>30799.999999999996</v>
      </c>
      <c r="H53" s="72">
        <v>12320</v>
      </c>
      <c r="I53" s="9">
        <v>0.08</v>
      </c>
      <c r="J53" s="51">
        <f t="shared" si="0"/>
        <v>985.6</v>
      </c>
      <c r="K53" s="51">
        <f t="shared" si="1"/>
        <v>13305.6</v>
      </c>
      <c r="L53" s="7"/>
    </row>
    <row r="54" spans="1:12" s="8" customFormat="1" x14ac:dyDescent="0.3">
      <c r="A54" s="69">
        <v>7</v>
      </c>
      <c r="B54" s="70" t="s">
        <v>64</v>
      </c>
      <c r="C54" s="71">
        <v>20</v>
      </c>
      <c r="D54" s="69" t="s">
        <v>158</v>
      </c>
      <c r="E54" s="69"/>
      <c r="F54" s="6"/>
      <c r="G54" s="19">
        <v>25200</v>
      </c>
      <c r="H54" s="72">
        <v>504000</v>
      </c>
      <c r="I54" s="9">
        <v>0.08</v>
      </c>
      <c r="J54" s="51">
        <f t="shared" si="0"/>
        <v>40320</v>
      </c>
      <c r="K54" s="51">
        <f t="shared" si="1"/>
        <v>544320</v>
      </c>
      <c r="L54" s="7"/>
    </row>
    <row r="55" spans="1:12" s="8" customFormat="1" x14ac:dyDescent="0.3">
      <c r="A55" s="69">
        <v>8</v>
      </c>
      <c r="B55" s="70" t="s">
        <v>65</v>
      </c>
      <c r="C55" s="71">
        <v>2</v>
      </c>
      <c r="D55" s="69" t="s">
        <v>157</v>
      </c>
      <c r="E55" s="69"/>
      <c r="F55" s="6"/>
      <c r="G55" s="19">
        <v>489999.99999999994</v>
      </c>
      <c r="H55" s="72">
        <v>979999.99999999988</v>
      </c>
      <c r="I55" s="9">
        <v>0.08</v>
      </c>
      <c r="J55" s="51">
        <f t="shared" si="0"/>
        <v>78399.999999999985</v>
      </c>
      <c r="K55" s="51">
        <f t="shared" si="1"/>
        <v>1058399.9999999998</v>
      </c>
      <c r="L55" s="7"/>
    </row>
    <row r="56" spans="1:12" s="8" customFormat="1" x14ac:dyDescent="0.3">
      <c r="A56" s="69">
        <v>9</v>
      </c>
      <c r="B56" s="70" t="s">
        <v>66</v>
      </c>
      <c r="C56" s="71">
        <v>1</v>
      </c>
      <c r="D56" s="69" t="s">
        <v>158</v>
      </c>
      <c r="E56" s="69" t="s">
        <v>227</v>
      </c>
      <c r="F56" s="14" t="s">
        <v>225</v>
      </c>
      <c r="G56" s="19">
        <v>3080000</v>
      </c>
      <c r="H56" s="72">
        <v>3080000</v>
      </c>
      <c r="I56" s="9">
        <v>0.08</v>
      </c>
      <c r="J56" s="51">
        <f t="shared" si="0"/>
        <v>246400</v>
      </c>
      <c r="K56" s="51">
        <f t="shared" si="1"/>
        <v>3326400</v>
      </c>
      <c r="L56" s="7"/>
    </row>
    <row r="57" spans="1:12" s="8" customFormat="1" x14ac:dyDescent="0.3">
      <c r="A57" s="69">
        <v>10</v>
      </c>
      <c r="B57" s="70" t="s">
        <v>67</v>
      </c>
      <c r="C57" s="71">
        <v>2</v>
      </c>
      <c r="D57" s="69" t="s">
        <v>158</v>
      </c>
      <c r="E57" s="69" t="s">
        <v>173</v>
      </c>
      <c r="F57" s="6"/>
      <c r="G57" s="19">
        <v>2170000</v>
      </c>
      <c r="H57" s="72">
        <v>4340000</v>
      </c>
      <c r="I57" s="9">
        <v>0.08</v>
      </c>
      <c r="J57" s="51">
        <f t="shared" si="0"/>
        <v>347200</v>
      </c>
      <c r="K57" s="51">
        <f t="shared" si="1"/>
        <v>4687200</v>
      </c>
      <c r="L57" s="7"/>
    </row>
    <row r="58" spans="1:12" s="8" customFormat="1" x14ac:dyDescent="0.3">
      <c r="A58" s="69">
        <v>11</v>
      </c>
      <c r="B58" s="70" t="s">
        <v>68</v>
      </c>
      <c r="C58" s="71">
        <v>3</v>
      </c>
      <c r="D58" s="69" t="s">
        <v>158</v>
      </c>
      <c r="E58" s="69" t="s">
        <v>174</v>
      </c>
      <c r="F58" s="6"/>
      <c r="G58" s="19">
        <v>588000</v>
      </c>
      <c r="H58" s="72">
        <v>1764000</v>
      </c>
      <c r="I58" s="9">
        <v>0.08</v>
      </c>
      <c r="J58" s="51">
        <f t="shared" si="0"/>
        <v>141120</v>
      </c>
      <c r="K58" s="51">
        <f t="shared" si="1"/>
        <v>1905120</v>
      </c>
      <c r="L58" s="7"/>
    </row>
    <row r="59" spans="1:12" s="8" customFormat="1" x14ac:dyDescent="0.3">
      <c r="A59" s="69">
        <v>12</v>
      </c>
      <c r="B59" s="70" t="s">
        <v>69</v>
      </c>
      <c r="C59" s="71">
        <v>1</v>
      </c>
      <c r="D59" s="69" t="s">
        <v>157</v>
      </c>
      <c r="E59" s="69"/>
      <c r="F59" s="6"/>
      <c r="G59" s="19">
        <v>4550000</v>
      </c>
      <c r="H59" s="72">
        <v>4550000</v>
      </c>
      <c r="I59" s="9">
        <v>0.08</v>
      </c>
      <c r="J59" s="51">
        <f t="shared" si="0"/>
        <v>364000</v>
      </c>
      <c r="K59" s="51">
        <f t="shared" si="1"/>
        <v>4914000</v>
      </c>
      <c r="L59" s="7"/>
    </row>
    <row r="60" spans="1:12" s="8" customFormat="1" x14ac:dyDescent="0.3">
      <c r="A60" s="69"/>
      <c r="B60" s="70" t="s">
        <v>56</v>
      </c>
      <c r="C60" s="71"/>
      <c r="D60" s="69"/>
      <c r="E60" s="69"/>
      <c r="F60" s="6"/>
      <c r="G60" s="19"/>
      <c r="H60" s="72">
        <v>12000000</v>
      </c>
      <c r="I60" s="9">
        <v>0.08</v>
      </c>
      <c r="J60" s="51">
        <f t="shared" si="0"/>
        <v>960000</v>
      </c>
      <c r="K60" s="51">
        <f t="shared" si="1"/>
        <v>12960000</v>
      </c>
      <c r="L60" s="7"/>
    </row>
    <row r="61" spans="1:12" s="8" customFormat="1" x14ac:dyDescent="0.3">
      <c r="A61" s="67" t="s">
        <v>70</v>
      </c>
      <c r="B61" s="68" t="s">
        <v>71</v>
      </c>
      <c r="C61" s="68"/>
      <c r="D61" s="67"/>
      <c r="E61" s="67"/>
      <c r="F61" s="6"/>
      <c r="G61" s="19"/>
      <c r="H61" s="72"/>
      <c r="I61" s="9"/>
      <c r="J61" s="51"/>
      <c r="K61" s="51"/>
      <c r="L61" s="7"/>
    </row>
    <row r="62" spans="1:12" s="8" customFormat="1" x14ac:dyDescent="0.3">
      <c r="A62" s="69">
        <v>1</v>
      </c>
      <c r="B62" s="70" t="s">
        <v>72</v>
      </c>
      <c r="C62" s="71">
        <v>1</v>
      </c>
      <c r="D62" s="69" t="s">
        <v>158</v>
      </c>
      <c r="E62" s="69"/>
      <c r="F62" s="6"/>
      <c r="G62" s="19">
        <v>9520000</v>
      </c>
      <c r="H62" s="72">
        <v>9520000</v>
      </c>
      <c r="I62" s="9">
        <v>0.08</v>
      </c>
      <c r="J62" s="51">
        <f t="shared" si="0"/>
        <v>761600</v>
      </c>
      <c r="K62" s="51">
        <f t="shared" si="1"/>
        <v>10281600</v>
      </c>
      <c r="L62" s="7"/>
    </row>
    <row r="63" spans="1:12" s="8" customFormat="1" x14ac:dyDescent="0.3">
      <c r="A63" s="69">
        <v>24</v>
      </c>
      <c r="B63" s="70" t="s">
        <v>73</v>
      </c>
      <c r="C63" s="71">
        <v>0.18</v>
      </c>
      <c r="D63" s="69" t="s">
        <v>156</v>
      </c>
      <c r="E63" s="69"/>
      <c r="F63" s="6"/>
      <c r="G63" s="19">
        <v>489999.99999999994</v>
      </c>
      <c r="H63" s="72">
        <v>88199.999999999985</v>
      </c>
      <c r="I63" s="9">
        <v>0.08</v>
      </c>
      <c r="J63" s="51">
        <f t="shared" si="0"/>
        <v>7055.9999999999991</v>
      </c>
      <c r="K63" s="51">
        <f t="shared" si="1"/>
        <v>95255.999999999985</v>
      </c>
      <c r="L63" s="7"/>
    </row>
    <row r="64" spans="1:12" s="8" customFormat="1" x14ac:dyDescent="0.3">
      <c r="A64" s="69">
        <v>25</v>
      </c>
      <c r="B64" s="70" t="s">
        <v>74</v>
      </c>
      <c r="C64" s="71">
        <v>2</v>
      </c>
      <c r="D64" s="69" t="s">
        <v>162</v>
      </c>
      <c r="E64" s="69"/>
      <c r="F64" s="6"/>
      <c r="G64" s="19">
        <v>1190000</v>
      </c>
      <c r="H64" s="72">
        <v>2380000</v>
      </c>
      <c r="I64" s="9">
        <v>0.08</v>
      </c>
      <c r="J64" s="51">
        <f t="shared" si="0"/>
        <v>190400</v>
      </c>
      <c r="K64" s="51">
        <f t="shared" si="1"/>
        <v>2570400</v>
      </c>
      <c r="L64" s="7"/>
    </row>
    <row r="65" spans="1:12" s="8" customFormat="1" ht="33" x14ac:dyDescent="0.3">
      <c r="A65" s="69">
        <v>26</v>
      </c>
      <c r="B65" s="70" t="s">
        <v>75</v>
      </c>
      <c r="C65" s="71">
        <v>2</v>
      </c>
      <c r="D65" s="69" t="s">
        <v>16</v>
      </c>
      <c r="E65" s="69"/>
      <c r="F65" s="6"/>
      <c r="G65" s="19">
        <v>475999.99999999994</v>
      </c>
      <c r="H65" s="72">
        <v>951999.99999999988</v>
      </c>
      <c r="I65" s="9">
        <v>0.08</v>
      </c>
      <c r="J65" s="51">
        <f t="shared" si="0"/>
        <v>76159.999999999985</v>
      </c>
      <c r="K65" s="51">
        <f t="shared" si="1"/>
        <v>1028159.9999999999</v>
      </c>
      <c r="L65" s="7"/>
    </row>
    <row r="66" spans="1:12" s="8" customFormat="1" x14ac:dyDescent="0.3">
      <c r="A66" s="69"/>
      <c r="B66" s="70" t="s">
        <v>56</v>
      </c>
      <c r="C66" s="71"/>
      <c r="D66" s="69"/>
      <c r="E66" s="69"/>
      <c r="F66" s="6"/>
      <c r="G66" s="19"/>
      <c r="H66" s="72">
        <v>8000000</v>
      </c>
      <c r="I66" s="9">
        <v>0.08</v>
      </c>
      <c r="J66" s="51">
        <f t="shared" si="0"/>
        <v>640000</v>
      </c>
      <c r="K66" s="51">
        <f t="shared" si="1"/>
        <v>8640000</v>
      </c>
      <c r="L66" s="7"/>
    </row>
    <row r="67" spans="1:12" s="8" customFormat="1" x14ac:dyDescent="0.3">
      <c r="A67" s="67" t="s">
        <v>76</v>
      </c>
      <c r="B67" s="68" t="s">
        <v>77</v>
      </c>
      <c r="C67" s="68"/>
      <c r="D67" s="67"/>
      <c r="E67" s="67"/>
      <c r="F67" s="6"/>
      <c r="G67" s="19"/>
      <c r="H67" s="72"/>
      <c r="I67" s="9"/>
      <c r="J67" s="51"/>
      <c r="K67" s="51"/>
      <c r="L67" s="7"/>
    </row>
    <row r="68" spans="1:12" s="8" customFormat="1" x14ac:dyDescent="0.3">
      <c r="A68" s="69"/>
      <c r="B68" s="70" t="s">
        <v>56</v>
      </c>
      <c r="C68" s="71"/>
      <c r="D68" s="69"/>
      <c r="E68" s="69"/>
      <c r="F68" s="6"/>
      <c r="G68" s="19"/>
      <c r="H68" s="72">
        <v>8000000</v>
      </c>
      <c r="I68" s="9">
        <v>0.08</v>
      </c>
      <c r="J68" s="51">
        <f t="shared" si="0"/>
        <v>640000</v>
      </c>
      <c r="K68" s="51">
        <f t="shared" si="1"/>
        <v>8640000</v>
      </c>
      <c r="L68" s="7"/>
    </row>
    <row r="69" spans="1:12" s="8" customFormat="1" x14ac:dyDescent="0.3">
      <c r="A69" s="67" t="s">
        <v>78</v>
      </c>
      <c r="B69" s="68" t="s">
        <v>79</v>
      </c>
      <c r="C69" s="68"/>
      <c r="D69" s="67"/>
      <c r="E69" s="67"/>
      <c r="F69" s="6"/>
      <c r="G69" s="19"/>
      <c r="H69" s="72"/>
      <c r="I69" s="9"/>
      <c r="J69" s="51"/>
      <c r="K69" s="51"/>
      <c r="L69" s="7"/>
    </row>
    <row r="70" spans="1:12" s="8" customFormat="1" ht="33" x14ac:dyDescent="0.3">
      <c r="A70" s="69">
        <v>2</v>
      </c>
      <c r="B70" s="70" t="s">
        <v>60</v>
      </c>
      <c r="C70" s="71">
        <v>3</v>
      </c>
      <c r="D70" s="69" t="s">
        <v>158</v>
      </c>
      <c r="E70" s="69" t="str">
        <f>E49</f>
        <v xml:space="preserve">DCP-R2ML </v>
      </c>
      <c r="F70" s="6"/>
      <c r="G70" s="19">
        <v>2029999.9999999998</v>
      </c>
      <c r="H70" s="72">
        <v>6089999.9999999991</v>
      </c>
      <c r="I70" s="9">
        <v>0.08</v>
      </c>
      <c r="J70" s="51">
        <f t="shared" si="0"/>
        <v>487199.99999999994</v>
      </c>
      <c r="K70" s="51">
        <f t="shared" si="1"/>
        <v>6577199.9999999991</v>
      </c>
      <c r="L70" s="7"/>
    </row>
    <row r="71" spans="1:12" s="8" customFormat="1" x14ac:dyDescent="0.3">
      <c r="A71" s="69">
        <v>3</v>
      </c>
      <c r="B71" s="70" t="s">
        <v>61</v>
      </c>
      <c r="C71" s="71">
        <v>6</v>
      </c>
      <c r="D71" s="69" t="s">
        <v>158</v>
      </c>
      <c r="E71" s="69" t="s">
        <v>228</v>
      </c>
      <c r="F71" s="14" t="s">
        <v>225</v>
      </c>
      <c r="G71" s="19">
        <v>1750000</v>
      </c>
      <c r="H71" s="72">
        <v>10500000</v>
      </c>
      <c r="I71" s="9">
        <v>0.08</v>
      </c>
      <c r="J71" s="51">
        <f t="shared" si="0"/>
        <v>840000</v>
      </c>
      <c r="K71" s="51">
        <f t="shared" si="1"/>
        <v>11340000</v>
      </c>
      <c r="L71" s="7"/>
    </row>
    <row r="72" spans="1:12" s="8" customFormat="1" ht="49.5" x14ac:dyDescent="0.3">
      <c r="A72" s="69">
        <v>4</v>
      </c>
      <c r="B72" s="70" t="s">
        <v>80</v>
      </c>
      <c r="C72" s="71">
        <v>2</v>
      </c>
      <c r="D72" s="69" t="s">
        <v>158</v>
      </c>
      <c r="E72" s="69" t="str">
        <f>E137</f>
        <v>KFDO-CS-EX2.51PI - Hochiki/ Singapore</v>
      </c>
      <c r="F72" s="14" t="s">
        <v>229</v>
      </c>
      <c r="G72" s="19">
        <v>1330000</v>
      </c>
      <c r="H72" s="72">
        <v>2660000</v>
      </c>
      <c r="I72" s="9">
        <v>0.08</v>
      </c>
      <c r="J72" s="51">
        <f t="shared" si="0"/>
        <v>212800</v>
      </c>
      <c r="K72" s="51">
        <f t="shared" si="1"/>
        <v>2872800</v>
      </c>
      <c r="L72" s="7"/>
    </row>
    <row r="73" spans="1:12" s="8" customFormat="1" ht="33" x14ac:dyDescent="0.3">
      <c r="A73" s="69">
        <v>5</v>
      </c>
      <c r="B73" s="70" t="s">
        <v>31</v>
      </c>
      <c r="C73" s="71">
        <v>100</v>
      </c>
      <c r="D73" s="69" t="s">
        <v>155</v>
      </c>
      <c r="E73" s="69"/>
      <c r="F73" s="6"/>
      <c r="G73" s="19">
        <v>77000</v>
      </c>
      <c r="H73" s="72">
        <v>7700000</v>
      </c>
      <c r="I73" s="9">
        <v>0.08</v>
      </c>
      <c r="J73" s="51">
        <f t="shared" si="0"/>
        <v>616000</v>
      </c>
      <c r="K73" s="51">
        <f t="shared" si="1"/>
        <v>8316000</v>
      </c>
      <c r="L73" s="7"/>
    </row>
    <row r="74" spans="1:12" s="8" customFormat="1" x14ac:dyDescent="0.3">
      <c r="A74" s="69"/>
      <c r="B74" s="70" t="s">
        <v>56</v>
      </c>
      <c r="C74" s="71"/>
      <c r="D74" s="69"/>
      <c r="E74" s="69"/>
      <c r="F74" s="6"/>
      <c r="G74" s="19"/>
      <c r="H74" s="72">
        <v>5000000</v>
      </c>
      <c r="I74" s="9">
        <v>0.08</v>
      </c>
      <c r="J74" s="51">
        <f t="shared" si="0"/>
        <v>400000</v>
      </c>
      <c r="K74" s="51">
        <f t="shared" si="1"/>
        <v>5400000</v>
      </c>
      <c r="L74" s="7"/>
    </row>
    <row r="75" spans="1:12" s="8" customFormat="1" x14ac:dyDescent="0.3">
      <c r="A75" s="67" t="s">
        <v>81</v>
      </c>
      <c r="B75" s="68" t="s">
        <v>82</v>
      </c>
      <c r="C75" s="68"/>
      <c r="D75" s="67"/>
      <c r="E75" s="67"/>
      <c r="F75" s="6"/>
      <c r="G75" s="19"/>
      <c r="H75" s="72"/>
      <c r="I75" s="9"/>
      <c r="J75" s="51"/>
      <c r="K75" s="51"/>
      <c r="L75" s="7"/>
    </row>
    <row r="76" spans="1:12" s="8" customFormat="1" ht="33" x14ac:dyDescent="0.3">
      <c r="A76" s="69">
        <v>1</v>
      </c>
      <c r="B76" s="70" t="s">
        <v>83</v>
      </c>
      <c r="C76" s="71">
        <v>1</v>
      </c>
      <c r="D76" s="69" t="s">
        <v>150</v>
      </c>
      <c r="E76" s="69"/>
      <c r="F76" s="6"/>
      <c r="G76" s="73">
        <v>0</v>
      </c>
      <c r="H76" s="72">
        <v>0</v>
      </c>
      <c r="I76" s="9">
        <v>0.08</v>
      </c>
      <c r="J76" s="51">
        <f t="shared" ref="J76:J139" si="2">H76*I76</f>
        <v>0</v>
      </c>
      <c r="K76" s="51">
        <f t="shared" ref="K76:K139" si="3">H76+J76</f>
        <v>0</v>
      </c>
      <c r="L76" s="7"/>
    </row>
    <row r="77" spans="1:12" s="8" customFormat="1" x14ac:dyDescent="0.3">
      <c r="A77" s="69">
        <v>2</v>
      </c>
      <c r="B77" s="70" t="s">
        <v>84</v>
      </c>
      <c r="C77" s="71">
        <v>1</v>
      </c>
      <c r="D77" s="69" t="s">
        <v>150</v>
      </c>
      <c r="E77" s="69"/>
      <c r="F77" s="6"/>
      <c r="G77" s="19">
        <v>0</v>
      </c>
      <c r="H77" s="72">
        <v>0</v>
      </c>
      <c r="I77" s="9">
        <v>0.08</v>
      </c>
      <c r="J77" s="51">
        <f t="shared" si="2"/>
        <v>0</v>
      </c>
      <c r="K77" s="51">
        <f t="shared" si="3"/>
        <v>0</v>
      </c>
      <c r="L77" s="7"/>
    </row>
    <row r="78" spans="1:12" s="8" customFormat="1" x14ac:dyDescent="0.3">
      <c r="A78" s="69">
        <v>3</v>
      </c>
      <c r="B78" s="70" t="s">
        <v>85</v>
      </c>
      <c r="C78" s="71">
        <v>1</v>
      </c>
      <c r="D78" s="69" t="s">
        <v>150</v>
      </c>
      <c r="E78" s="69"/>
      <c r="F78" s="6"/>
      <c r="G78" s="19">
        <v>0</v>
      </c>
      <c r="H78" s="72">
        <v>0</v>
      </c>
      <c r="I78" s="9">
        <v>0.08</v>
      </c>
      <c r="J78" s="51">
        <f t="shared" si="2"/>
        <v>0</v>
      </c>
      <c r="K78" s="51">
        <f t="shared" si="3"/>
        <v>0</v>
      </c>
      <c r="L78" s="7"/>
    </row>
    <row r="79" spans="1:12" s="8" customFormat="1" x14ac:dyDescent="0.3">
      <c r="A79" s="69">
        <v>4</v>
      </c>
      <c r="B79" s="70" t="s">
        <v>86</v>
      </c>
      <c r="C79" s="71">
        <v>2</v>
      </c>
      <c r="D79" s="69" t="s">
        <v>150</v>
      </c>
      <c r="E79" s="69"/>
      <c r="F79" s="6"/>
      <c r="G79" s="19">
        <v>0</v>
      </c>
      <c r="H79" s="72">
        <v>0</v>
      </c>
      <c r="I79" s="9">
        <v>0.08</v>
      </c>
      <c r="J79" s="51">
        <f t="shared" si="2"/>
        <v>0</v>
      </c>
      <c r="K79" s="51">
        <f t="shared" si="3"/>
        <v>0</v>
      </c>
      <c r="L79" s="7"/>
    </row>
    <row r="80" spans="1:12" s="8" customFormat="1" x14ac:dyDescent="0.3">
      <c r="A80" s="69">
        <v>5</v>
      </c>
      <c r="B80" s="70" t="s">
        <v>87</v>
      </c>
      <c r="C80" s="71">
        <v>1</v>
      </c>
      <c r="D80" s="69" t="s">
        <v>157</v>
      </c>
      <c r="E80" s="69"/>
      <c r="F80" s="6"/>
      <c r="G80" s="19">
        <v>0</v>
      </c>
      <c r="H80" s="72">
        <v>0</v>
      </c>
      <c r="I80" s="9">
        <v>0.08</v>
      </c>
      <c r="J80" s="51">
        <f t="shared" si="2"/>
        <v>0</v>
      </c>
      <c r="K80" s="51">
        <f t="shared" si="3"/>
        <v>0</v>
      </c>
      <c r="L80" s="7"/>
    </row>
    <row r="81" spans="1:12" s="8" customFormat="1" x14ac:dyDescent="0.3">
      <c r="A81" s="69">
        <v>6</v>
      </c>
      <c r="B81" s="70" t="s">
        <v>88</v>
      </c>
      <c r="C81" s="71">
        <v>1</v>
      </c>
      <c r="D81" s="69" t="s">
        <v>157</v>
      </c>
      <c r="E81" s="69"/>
      <c r="F81" s="6"/>
      <c r="G81" s="19">
        <v>0</v>
      </c>
      <c r="H81" s="72">
        <v>0</v>
      </c>
      <c r="I81" s="9">
        <v>0.08</v>
      </c>
      <c r="J81" s="51">
        <f t="shared" si="2"/>
        <v>0</v>
      </c>
      <c r="K81" s="51">
        <f t="shared" si="3"/>
        <v>0</v>
      </c>
      <c r="L81" s="7"/>
    </row>
    <row r="82" spans="1:12" s="8" customFormat="1" ht="33" x14ac:dyDescent="0.3">
      <c r="A82" s="69">
        <v>7</v>
      </c>
      <c r="B82" s="70" t="s">
        <v>89</v>
      </c>
      <c r="C82" s="71">
        <v>50</v>
      </c>
      <c r="D82" s="69" t="s">
        <v>155</v>
      </c>
      <c r="E82" s="69"/>
      <c r="F82" s="6"/>
      <c r="G82" s="19">
        <v>0</v>
      </c>
      <c r="H82" s="72">
        <v>0</v>
      </c>
      <c r="I82" s="9">
        <v>0.08</v>
      </c>
      <c r="J82" s="51">
        <f t="shared" si="2"/>
        <v>0</v>
      </c>
      <c r="K82" s="51">
        <f t="shared" si="3"/>
        <v>0</v>
      </c>
      <c r="L82" s="7"/>
    </row>
    <row r="83" spans="1:12" s="8" customFormat="1" ht="33" x14ac:dyDescent="0.3">
      <c r="A83" s="69">
        <v>8</v>
      </c>
      <c r="B83" s="70" t="s">
        <v>90</v>
      </c>
      <c r="C83" s="71">
        <v>15</v>
      </c>
      <c r="D83" s="69" t="s">
        <v>155</v>
      </c>
      <c r="E83" s="69"/>
      <c r="F83" s="6"/>
      <c r="G83" s="19">
        <v>0</v>
      </c>
      <c r="H83" s="72">
        <v>0</v>
      </c>
      <c r="I83" s="9">
        <v>0.08</v>
      </c>
      <c r="J83" s="51">
        <f t="shared" si="2"/>
        <v>0</v>
      </c>
      <c r="K83" s="51">
        <f t="shared" si="3"/>
        <v>0</v>
      </c>
      <c r="L83" s="7"/>
    </row>
    <row r="84" spans="1:12" s="8" customFormat="1" ht="33" x14ac:dyDescent="0.3">
      <c r="A84" s="69">
        <v>9</v>
      </c>
      <c r="B84" s="70" t="s">
        <v>91</v>
      </c>
      <c r="C84" s="71">
        <v>15</v>
      </c>
      <c r="D84" s="69" t="s">
        <v>155</v>
      </c>
      <c r="E84" s="69"/>
      <c r="F84" s="6"/>
      <c r="G84" s="19">
        <v>0</v>
      </c>
      <c r="H84" s="72">
        <v>0</v>
      </c>
      <c r="I84" s="9">
        <v>0.08</v>
      </c>
      <c r="J84" s="51">
        <f t="shared" si="2"/>
        <v>0</v>
      </c>
      <c r="K84" s="51">
        <f t="shared" si="3"/>
        <v>0</v>
      </c>
      <c r="L84" s="7"/>
    </row>
    <row r="85" spans="1:12" s="8" customFormat="1" x14ac:dyDescent="0.3">
      <c r="A85" s="69">
        <v>10</v>
      </c>
      <c r="B85" s="70" t="s">
        <v>92</v>
      </c>
      <c r="C85" s="71">
        <v>50</v>
      </c>
      <c r="D85" s="69" t="s">
        <v>155</v>
      </c>
      <c r="E85" s="69"/>
      <c r="F85" s="6"/>
      <c r="G85" s="19">
        <v>0</v>
      </c>
      <c r="H85" s="72">
        <v>0</v>
      </c>
      <c r="I85" s="9">
        <v>0.08</v>
      </c>
      <c r="J85" s="51">
        <f t="shared" si="2"/>
        <v>0</v>
      </c>
      <c r="K85" s="51">
        <f t="shared" si="3"/>
        <v>0</v>
      </c>
      <c r="L85" s="7"/>
    </row>
    <row r="86" spans="1:12" s="8" customFormat="1" x14ac:dyDescent="0.3">
      <c r="A86" s="69">
        <v>11</v>
      </c>
      <c r="B86" s="70" t="s">
        <v>93</v>
      </c>
      <c r="C86" s="71">
        <v>20</v>
      </c>
      <c r="D86" s="69" t="s">
        <v>155</v>
      </c>
      <c r="E86" s="69"/>
      <c r="F86" s="6"/>
      <c r="G86" s="19">
        <v>0</v>
      </c>
      <c r="H86" s="72">
        <v>0</v>
      </c>
      <c r="I86" s="9">
        <v>0.08</v>
      </c>
      <c r="J86" s="51">
        <f t="shared" si="2"/>
        <v>0</v>
      </c>
      <c r="K86" s="51">
        <f t="shared" si="3"/>
        <v>0</v>
      </c>
      <c r="L86" s="7"/>
    </row>
    <row r="87" spans="1:12" s="8" customFormat="1" x14ac:dyDescent="0.3">
      <c r="A87" s="69">
        <v>12</v>
      </c>
      <c r="B87" s="70" t="s">
        <v>94</v>
      </c>
      <c r="C87" s="71">
        <v>20</v>
      </c>
      <c r="D87" s="69" t="s">
        <v>155</v>
      </c>
      <c r="E87" s="69"/>
      <c r="F87" s="6"/>
      <c r="G87" s="19">
        <v>0</v>
      </c>
      <c r="H87" s="72">
        <v>0</v>
      </c>
      <c r="I87" s="9">
        <v>0.08</v>
      </c>
      <c r="J87" s="51">
        <f t="shared" si="2"/>
        <v>0</v>
      </c>
      <c r="K87" s="51">
        <f t="shared" si="3"/>
        <v>0</v>
      </c>
      <c r="L87" s="7"/>
    </row>
    <row r="88" spans="1:12" s="8" customFormat="1" ht="33" x14ac:dyDescent="0.3">
      <c r="A88" s="69">
        <v>13</v>
      </c>
      <c r="B88" s="70" t="s">
        <v>95</v>
      </c>
      <c r="C88" s="71">
        <v>30</v>
      </c>
      <c r="D88" s="69" t="s">
        <v>155</v>
      </c>
      <c r="E88" s="69"/>
      <c r="F88" s="6"/>
      <c r="G88" s="19">
        <v>0</v>
      </c>
      <c r="H88" s="72">
        <v>0</v>
      </c>
      <c r="I88" s="9">
        <v>0.08</v>
      </c>
      <c r="J88" s="51">
        <f t="shared" si="2"/>
        <v>0</v>
      </c>
      <c r="K88" s="51">
        <f t="shared" si="3"/>
        <v>0</v>
      </c>
      <c r="L88" s="7"/>
    </row>
    <row r="89" spans="1:12" s="8" customFormat="1" ht="33" x14ac:dyDescent="0.3">
      <c r="A89" s="69">
        <v>14</v>
      </c>
      <c r="B89" s="70" t="s">
        <v>96</v>
      </c>
      <c r="C89" s="71">
        <v>2</v>
      </c>
      <c r="D89" s="69" t="s">
        <v>16</v>
      </c>
      <c r="E89" s="69"/>
      <c r="F89" s="6"/>
      <c r="G89" s="19">
        <v>0</v>
      </c>
      <c r="H89" s="72">
        <v>0</v>
      </c>
      <c r="I89" s="9">
        <v>0.08</v>
      </c>
      <c r="J89" s="51">
        <f t="shared" si="2"/>
        <v>0</v>
      </c>
      <c r="K89" s="51">
        <f t="shared" si="3"/>
        <v>0</v>
      </c>
      <c r="L89" s="7"/>
    </row>
    <row r="90" spans="1:12" s="8" customFormat="1" x14ac:dyDescent="0.3">
      <c r="A90" s="67" t="s">
        <v>97</v>
      </c>
      <c r="B90" s="68" t="s">
        <v>98</v>
      </c>
      <c r="C90" s="71"/>
      <c r="D90" s="67"/>
      <c r="E90" s="67"/>
      <c r="F90" s="6"/>
      <c r="G90" s="19"/>
      <c r="H90" s="72"/>
      <c r="I90" s="9"/>
      <c r="J90" s="51"/>
      <c r="K90" s="51"/>
      <c r="L90" s="7"/>
    </row>
    <row r="91" spans="1:12" s="8" customFormat="1" x14ac:dyDescent="0.3">
      <c r="A91" s="69">
        <v>1</v>
      </c>
      <c r="B91" s="70" t="s">
        <v>36</v>
      </c>
      <c r="C91" s="71">
        <v>20</v>
      </c>
      <c r="D91" s="69" t="s">
        <v>155</v>
      </c>
      <c r="E91" s="69"/>
      <c r="F91" s="6"/>
      <c r="G91" s="73">
        <v>0</v>
      </c>
      <c r="H91" s="72">
        <v>0</v>
      </c>
      <c r="I91" s="9">
        <v>0.08</v>
      </c>
      <c r="J91" s="51">
        <f t="shared" si="2"/>
        <v>0</v>
      </c>
      <c r="K91" s="51">
        <f t="shared" si="3"/>
        <v>0</v>
      </c>
      <c r="L91" s="7"/>
    </row>
    <row r="92" spans="1:12" s="8" customFormat="1" x14ac:dyDescent="0.3">
      <c r="A92" s="69">
        <v>2</v>
      </c>
      <c r="B92" s="70" t="s">
        <v>99</v>
      </c>
      <c r="C92" s="71">
        <v>20</v>
      </c>
      <c r="D92" s="69" t="s">
        <v>155</v>
      </c>
      <c r="E92" s="69"/>
      <c r="F92" s="6"/>
      <c r="G92" s="19">
        <v>0</v>
      </c>
      <c r="H92" s="72">
        <v>0</v>
      </c>
      <c r="I92" s="9">
        <v>0.08</v>
      </c>
      <c r="J92" s="51">
        <f t="shared" si="2"/>
        <v>0</v>
      </c>
      <c r="K92" s="51">
        <f t="shared" si="3"/>
        <v>0</v>
      </c>
      <c r="L92" s="7"/>
    </row>
    <row r="93" spans="1:12" s="8" customFormat="1" x14ac:dyDescent="0.3">
      <c r="A93" s="69">
        <v>3</v>
      </c>
      <c r="B93" s="70" t="s">
        <v>37</v>
      </c>
      <c r="C93" s="71">
        <v>3</v>
      </c>
      <c r="D93" s="69" t="s">
        <v>158</v>
      </c>
      <c r="E93" s="69"/>
      <c r="F93" s="6"/>
      <c r="G93" s="19">
        <v>0</v>
      </c>
      <c r="H93" s="72">
        <v>0</v>
      </c>
      <c r="I93" s="9">
        <v>0.08</v>
      </c>
      <c r="J93" s="51">
        <f t="shared" si="2"/>
        <v>0</v>
      </c>
      <c r="K93" s="51">
        <f t="shared" si="3"/>
        <v>0</v>
      </c>
      <c r="L93" s="7"/>
    </row>
    <row r="94" spans="1:12" s="8" customFormat="1" x14ac:dyDescent="0.3">
      <c r="A94" s="69">
        <v>4</v>
      </c>
      <c r="B94" s="70" t="s">
        <v>100</v>
      </c>
      <c r="C94" s="71">
        <v>2</v>
      </c>
      <c r="D94" s="69" t="s">
        <v>158</v>
      </c>
      <c r="E94" s="69"/>
      <c r="F94" s="6"/>
      <c r="G94" s="19">
        <v>0</v>
      </c>
      <c r="H94" s="72">
        <v>0</v>
      </c>
      <c r="I94" s="9">
        <v>0.08</v>
      </c>
      <c r="J94" s="51">
        <f t="shared" si="2"/>
        <v>0</v>
      </c>
      <c r="K94" s="51">
        <f t="shared" si="3"/>
        <v>0</v>
      </c>
      <c r="L94" s="7"/>
    </row>
    <row r="95" spans="1:12" s="8" customFormat="1" x14ac:dyDescent="0.3">
      <c r="A95" s="69">
        <v>5</v>
      </c>
      <c r="B95" s="70" t="s">
        <v>101</v>
      </c>
      <c r="C95" s="71">
        <v>3</v>
      </c>
      <c r="D95" s="69" t="s">
        <v>158</v>
      </c>
      <c r="E95" s="69"/>
      <c r="F95" s="6"/>
      <c r="G95" s="19">
        <v>0</v>
      </c>
      <c r="H95" s="72">
        <v>0</v>
      </c>
      <c r="I95" s="9">
        <v>0.08</v>
      </c>
      <c r="J95" s="51">
        <f t="shared" si="2"/>
        <v>0</v>
      </c>
      <c r="K95" s="51">
        <f t="shared" si="3"/>
        <v>0</v>
      </c>
      <c r="L95" s="7"/>
    </row>
    <row r="96" spans="1:12" s="8" customFormat="1" x14ac:dyDescent="0.3">
      <c r="A96" s="69">
        <v>6</v>
      </c>
      <c r="B96" s="70" t="s">
        <v>102</v>
      </c>
      <c r="C96" s="71">
        <v>2</v>
      </c>
      <c r="D96" s="69" t="s">
        <v>158</v>
      </c>
      <c r="E96" s="69"/>
      <c r="F96" s="6"/>
      <c r="G96" s="19">
        <v>0</v>
      </c>
      <c r="H96" s="72">
        <v>0</v>
      </c>
      <c r="I96" s="9">
        <v>0.08</v>
      </c>
      <c r="J96" s="51">
        <f t="shared" si="2"/>
        <v>0</v>
      </c>
      <c r="K96" s="51">
        <f t="shared" si="3"/>
        <v>0</v>
      </c>
      <c r="L96" s="7"/>
    </row>
    <row r="97" spans="1:12" s="8" customFormat="1" x14ac:dyDescent="0.3">
      <c r="A97" s="69">
        <v>7</v>
      </c>
      <c r="B97" s="70" t="s">
        <v>103</v>
      </c>
      <c r="C97" s="71">
        <v>2</v>
      </c>
      <c r="D97" s="69" t="s">
        <v>163</v>
      </c>
      <c r="E97" s="69"/>
      <c r="F97" s="6"/>
      <c r="G97" s="19">
        <v>0</v>
      </c>
      <c r="H97" s="72">
        <v>0</v>
      </c>
      <c r="I97" s="9">
        <v>0.08</v>
      </c>
      <c r="J97" s="51">
        <f t="shared" si="2"/>
        <v>0</v>
      </c>
      <c r="K97" s="51">
        <f t="shared" si="3"/>
        <v>0</v>
      </c>
      <c r="L97" s="7"/>
    </row>
    <row r="98" spans="1:12" s="8" customFormat="1" x14ac:dyDescent="0.3">
      <c r="A98" s="67" t="s">
        <v>104</v>
      </c>
      <c r="B98" s="68" t="s">
        <v>105</v>
      </c>
      <c r="C98" s="71"/>
      <c r="D98" s="67"/>
      <c r="E98" s="67"/>
      <c r="F98" s="6"/>
      <c r="G98" s="19"/>
      <c r="H98" s="72"/>
      <c r="I98" s="9"/>
      <c r="J98" s="51"/>
      <c r="K98" s="51"/>
      <c r="L98" s="7"/>
    </row>
    <row r="99" spans="1:12" s="8" customFormat="1" x14ac:dyDescent="0.3">
      <c r="A99" s="67" t="s">
        <v>106</v>
      </c>
      <c r="B99" s="68" t="s">
        <v>107</v>
      </c>
      <c r="C99" s="71"/>
      <c r="D99" s="67"/>
      <c r="E99" s="67"/>
      <c r="F99" s="6"/>
      <c r="G99" s="19"/>
      <c r="H99" s="72"/>
      <c r="I99" s="9"/>
      <c r="J99" s="51"/>
      <c r="K99" s="51"/>
      <c r="L99" s="7"/>
    </row>
    <row r="100" spans="1:12" s="8" customFormat="1" x14ac:dyDescent="0.3">
      <c r="A100" s="69">
        <v>1</v>
      </c>
      <c r="B100" s="70" t="s">
        <v>108</v>
      </c>
      <c r="C100" s="71">
        <v>6</v>
      </c>
      <c r="D100" s="69" t="s">
        <v>158</v>
      </c>
      <c r="E100" s="69"/>
      <c r="F100" s="6"/>
      <c r="G100" s="19">
        <v>0</v>
      </c>
      <c r="H100" s="72">
        <v>0</v>
      </c>
      <c r="I100" s="9">
        <v>0.08</v>
      </c>
      <c r="J100" s="51">
        <f t="shared" si="2"/>
        <v>0</v>
      </c>
      <c r="K100" s="51">
        <f t="shared" si="3"/>
        <v>0</v>
      </c>
      <c r="L100" s="7"/>
    </row>
    <row r="101" spans="1:12" s="8" customFormat="1" x14ac:dyDescent="0.3">
      <c r="A101" s="69">
        <v>2</v>
      </c>
      <c r="B101" s="70" t="s">
        <v>109</v>
      </c>
      <c r="C101" s="71">
        <v>8</v>
      </c>
      <c r="D101" s="69" t="s">
        <v>158</v>
      </c>
      <c r="E101" s="69"/>
      <c r="F101" s="6"/>
      <c r="G101" s="19">
        <v>0</v>
      </c>
      <c r="H101" s="72">
        <v>0</v>
      </c>
      <c r="I101" s="9">
        <v>0.08</v>
      </c>
      <c r="J101" s="51">
        <f t="shared" si="2"/>
        <v>0</v>
      </c>
      <c r="K101" s="51">
        <f t="shared" si="3"/>
        <v>0</v>
      </c>
      <c r="L101" s="7"/>
    </row>
    <row r="102" spans="1:12" s="8" customFormat="1" x14ac:dyDescent="0.3">
      <c r="A102" s="69">
        <v>3</v>
      </c>
      <c r="B102" s="70" t="s">
        <v>110</v>
      </c>
      <c r="C102" s="71">
        <v>3</v>
      </c>
      <c r="D102" s="69" t="s">
        <v>158</v>
      </c>
      <c r="E102" s="69"/>
      <c r="F102" s="6"/>
      <c r="G102" s="19">
        <v>0</v>
      </c>
      <c r="H102" s="72">
        <v>0</v>
      </c>
      <c r="I102" s="9">
        <v>0.08</v>
      </c>
      <c r="J102" s="51">
        <f t="shared" si="2"/>
        <v>0</v>
      </c>
      <c r="K102" s="51">
        <f t="shared" si="3"/>
        <v>0</v>
      </c>
      <c r="L102" s="7"/>
    </row>
    <row r="103" spans="1:12" s="8" customFormat="1" x14ac:dyDescent="0.3">
      <c r="A103" s="69">
        <v>4</v>
      </c>
      <c r="B103" s="70" t="s">
        <v>111</v>
      </c>
      <c r="C103" s="71">
        <v>1</v>
      </c>
      <c r="D103" s="69" t="s">
        <v>158</v>
      </c>
      <c r="E103" s="69" t="s">
        <v>176</v>
      </c>
      <c r="F103" s="6"/>
      <c r="G103" s="19">
        <v>1092000</v>
      </c>
      <c r="H103" s="72">
        <v>1092000</v>
      </c>
      <c r="I103" s="9">
        <v>0.08</v>
      </c>
      <c r="J103" s="51">
        <f t="shared" si="2"/>
        <v>87360</v>
      </c>
      <c r="K103" s="51">
        <f t="shared" si="3"/>
        <v>1179360</v>
      </c>
      <c r="L103" s="7"/>
    </row>
    <row r="104" spans="1:12" s="8" customFormat="1" x14ac:dyDescent="0.3">
      <c r="A104" s="69">
        <v>5</v>
      </c>
      <c r="B104" s="70" t="s">
        <v>67</v>
      </c>
      <c r="C104" s="71">
        <v>1</v>
      </c>
      <c r="D104" s="69" t="s">
        <v>158</v>
      </c>
      <c r="E104" s="69" t="s">
        <v>173</v>
      </c>
      <c r="F104" s="6"/>
      <c r="G104" s="19">
        <v>2170000</v>
      </c>
      <c r="H104" s="72">
        <v>2170000</v>
      </c>
      <c r="I104" s="9">
        <v>0.08</v>
      </c>
      <c r="J104" s="51">
        <f t="shared" si="2"/>
        <v>173600</v>
      </c>
      <c r="K104" s="51">
        <f t="shared" si="3"/>
        <v>2343600</v>
      </c>
      <c r="L104" s="7"/>
    </row>
    <row r="105" spans="1:12" s="8" customFormat="1" x14ac:dyDescent="0.3">
      <c r="A105" s="69">
        <v>6</v>
      </c>
      <c r="B105" s="70" t="s">
        <v>68</v>
      </c>
      <c r="C105" s="71">
        <v>1</v>
      </c>
      <c r="D105" s="69" t="s">
        <v>158</v>
      </c>
      <c r="E105" s="69"/>
      <c r="F105" s="6"/>
      <c r="G105" s="19">
        <v>0</v>
      </c>
      <c r="H105" s="72">
        <v>0</v>
      </c>
      <c r="I105" s="9">
        <v>0.08</v>
      </c>
      <c r="J105" s="51">
        <f t="shared" si="2"/>
        <v>0</v>
      </c>
      <c r="K105" s="51">
        <f t="shared" si="3"/>
        <v>0</v>
      </c>
      <c r="L105" s="7"/>
    </row>
    <row r="106" spans="1:12" s="8" customFormat="1" ht="33" x14ac:dyDescent="0.3">
      <c r="A106" s="69">
        <v>7</v>
      </c>
      <c r="B106" s="70" t="s">
        <v>60</v>
      </c>
      <c r="C106" s="71">
        <v>1</v>
      </c>
      <c r="D106" s="69" t="s">
        <v>158</v>
      </c>
      <c r="E106" s="69" t="str">
        <f>E70</f>
        <v xml:space="preserve">DCP-R2ML </v>
      </c>
      <c r="F106" s="6"/>
      <c r="G106" s="19">
        <v>2029999.9999999998</v>
      </c>
      <c r="H106" s="72">
        <v>2029999.9999999998</v>
      </c>
      <c r="I106" s="9">
        <v>0.08</v>
      </c>
      <c r="J106" s="51">
        <f t="shared" si="2"/>
        <v>162399.99999999997</v>
      </c>
      <c r="K106" s="51">
        <f t="shared" si="3"/>
        <v>2192399.9999999995</v>
      </c>
      <c r="L106" s="7"/>
    </row>
    <row r="107" spans="1:12" s="8" customFormat="1" ht="33" x14ac:dyDescent="0.3">
      <c r="A107" s="69">
        <v>8</v>
      </c>
      <c r="B107" s="70" t="s">
        <v>62</v>
      </c>
      <c r="C107" s="71">
        <v>1</v>
      </c>
      <c r="D107" s="69" t="s">
        <v>158</v>
      </c>
      <c r="E107" s="69" t="str">
        <f>E128</f>
        <v>DCP-SCI - Hochiki/ USA</v>
      </c>
      <c r="F107" s="14" t="s">
        <v>225</v>
      </c>
      <c r="G107" s="19">
        <v>1330000</v>
      </c>
      <c r="H107" s="72">
        <v>1330000</v>
      </c>
      <c r="I107" s="9">
        <v>0.08</v>
      </c>
      <c r="J107" s="51">
        <f t="shared" si="2"/>
        <v>106400</v>
      </c>
      <c r="K107" s="51">
        <f t="shared" si="3"/>
        <v>1436400</v>
      </c>
      <c r="L107" s="7"/>
    </row>
    <row r="108" spans="1:12" s="8" customFormat="1" ht="33" x14ac:dyDescent="0.3">
      <c r="A108" s="69">
        <v>9</v>
      </c>
      <c r="B108" s="70" t="s">
        <v>31</v>
      </c>
      <c r="C108" s="71">
        <v>300</v>
      </c>
      <c r="D108" s="69" t="s">
        <v>155</v>
      </c>
      <c r="E108" s="69"/>
      <c r="F108" s="6"/>
      <c r="G108" s="19">
        <v>0</v>
      </c>
      <c r="H108" s="72">
        <v>0</v>
      </c>
      <c r="I108" s="9">
        <v>0.08</v>
      </c>
      <c r="J108" s="51">
        <f t="shared" si="2"/>
        <v>0</v>
      </c>
      <c r="K108" s="51">
        <f t="shared" si="3"/>
        <v>0</v>
      </c>
      <c r="L108" s="7"/>
    </row>
    <row r="109" spans="1:12" s="8" customFormat="1" x14ac:dyDescent="0.3">
      <c r="A109" s="69">
        <v>10</v>
      </c>
      <c r="B109" s="70" t="s">
        <v>112</v>
      </c>
      <c r="C109" s="71">
        <v>1</v>
      </c>
      <c r="D109" s="69" t="s">
        <v>156</v>
      </c>
      <c r="E109" s="69"/>
      <c r="F109" s="6"/>
      <c r="G109" s="19">
        <v>0</v>
      </c>
      <c r="H109" s="72">
        <v>0</v>
      </c>
      <c r="I109" s="9">
        <v>0.08</v>
      </c>
      <c r="J109" s="51">
        <f t="shared" si="2"/>
        <v>0</v>
      </c>
      <c r="K109" s="51">
        <f t="shared" si="3"/>
        <v>0</v>
      </c>
      <c r="L109" s="7"/>
    </row>
    <row r="110" spans="1:12" s="8" customFormat="1" x14ac:dyDescent="0.3">
      <c r="A110" s="69">
        <v>11</v>
      </c>
      <c r="B110" s="70" t="s">
        <v>113</v>
      </c>
      <c r="C110" s="71">
        <v>0.2</v>
      </c>
      <c r="D110" s="69" t="s">
        <v>156</v>
      </c>
      <c r="E110" s="69"/>
      <c r="F110" s="6"/>
      <c r="G110" s="19">
        <v>0</v>
      </c>
      <c r="H110" s="72">
        <v>0</v>
      </c>
      <c r="I110" s="9">
        <v>0.08</v>
      </c>
      <c r="J110" s="51">
        <f t="shared" si="2"/>
        <v>0</v>
      </c>
      <c r="K110" s="51">
        <f t="shared" si="3"/>
        <v>0</v>
      </c>
      <c r="L110" s="7"/>
    </row>
    <row r="111" spans="1:12" s="8" customFormat="1" x14ac:dyDescent="0.3">
      <c r="A111" s="69">
        <v>12</v>
      </c>
      <c r="B111" s="70" t="s">
        <v>114</v>
      </c>
      <c r="C111" s="71">
        <v>100</v>
      </c>
      <c r="D111" s="69" t="s">
        <v>158</v>
      </c>
      <c r="E111" s="69"/>
      <c r="F111" s="6"/>
      <c r="G111" s="19">
        <v>0</v>
      </c>
      <c r="H111" s="72">
        <v>0</v>
      </c>
      <c r="I111" s="9">
        <v>0.08</v>
      </c>
      <c r="J111" s="51">
        <f t="shared" si="2"/>
        <v>0</v>
      </c>
      <c r="K111" s="51">
        <f t="shared" si="3"/>
        <v>0</v>
      </c>
      <c r="L111" s="7"/>
    </row>
    <row r="112" spans="1:12" s="8" customFormat="1" x14ac:dyDescent="0.3">
      <c r="A112" s="69">
        <v>13</v>
      </c>
      <c r="B112" s="70" t="s">
        <v>115</v>
      </c>
      <c r="C112" s="71">
        <v>20</v>
      </c>
      <c r="D112" s="69" t="s">
        <v>157</v>
      </c>
      <c r="E112" s="69"/>
      <c r="F112" s="6"/>
      <c r="G112" s="19">
        <v>77000</v>
      </c>
      <c r="H112" s="72">
        <v>1540000</v>
      </c>
      <c r="I112" s="9">
        <v>0.08</v>
      </c>
      <c r="J112" s="51">
        <f t="shared" si="2"/>
        <v>123200</v>
      </c>
      <c r="K112" s="51">
        <f t="shared" si="3"/>
        <v>1663200</v>
      </c>
      <c r="L112" s="7"/>
    </row>
    <row r="113" spans="1:12" s="8" customFormat="1" x14ac:dyDescent="0.3">
      <c r="A113" s="69">
        <v>14</v>
      </c>
      <c r="B113" s="70" t="s">
        <v>116</v>
      </c>
      <c r="C113" s="71">
        <v>1</v>
      </c>
      <c r="D113" s="69" t="s">
        <v>157</v>
      </c>
      <c r="E113" s="69"/>
      <c r="F113" s="6"/>
      <c r="G113" s="19">
        <v>0</v>
      </c>
      <c r="H113" s="72">
        <v>0</v>
      </c>
      <c r="I113" s="9">
        <v>0.08</v>
      </c>
      <c r="J113" s="51">
        <f t="shared" si="2"/>
        <v>0</v>
      </c>
      <c r="K113" s="51">
        <f t="shared" si="3"/>
        <v>0</v>
      </c>
      <c r="L113" s="7"/>
    </row>
    <row r="114" spans="1:12" s="8" customFormat="1" x14ac:dyDescent="0.3">
      <c r="A114" s="69">
        <v>15</v>
      </c>
      <c r="B114" s="70" t="s">
        <v>74</v>
      </c>
      <c r="C114" s="71">
        <v>13</v>
      </c>
      <c r="D114" s="69" t="s">
        <v>162</v>
      </c>
      <c r="E114" s="69"/>
      <c r="F114" s="6"/>
      <c r="G114" s="19">
        <v>1190000</v>
      </c>
      <c r="H114" s="72">
        <v>15470000</v>
      </c>
      <c r="I114" s="9">
        <v>0.08</v>
      </c>
      <c r="J114" s="51">
        <f t="shared" si="2"/>
        <v>1237600</v>
      </c>
      <c r="K114" s="51">
        <f t="shared" si="3"/>
        <v>16707600</v>
      </c>
      <c r="L114" s="7"/>
    </row>
    <row r="115" spans="1:12" s="8" customFormat="1" x14ac:dyDescent="0.3">
      <c r="A115" s="69">
        <v>16</v>
      </c>
      <c r="B115" s="70" t="s">
        <v>117</v>
      </c>
      <c r="C115" s="71">
        <v>4</v>
      </c>
      <c r="D115" s="69" t="s">
        <v>16</v>
      </c>
      <c r="E115" s="69"/>
      <c r="F115" s="6"/>
      <c r="G115" s="74">
        <v>475999.99999999994</v>
      </c>
      <c r="H115" s="72">
        <v>1903999.9999999998</v>
      </c>
      <c r="I115" s="9">
        <v>0.08</v>
      </c>
      <c r="J115" s="51">
        <f t="shared" si="2"/>
        <v>152319.99999999997</v>
      </c>
      <c r="K115" s="51">
        <f t="shared" si="3"/>
        <v>2056319.9999999998</v>
      </c>
      <c r="L115" s="7"/>
    </row>
    <row r="116" spans="1:12" s="8" customFormat="1" x14ac:dyDescent="0.3">
      <c r="A116" s="69">
        <v>17</v>
      </c>
      <c r="B116" s="70" t="s">
        <v>118</v>
      </c>
      <c r="C116" s="71">
        <v>2</v>
      </c>
      <c r="D116" s="69" t="s">
        <v>164</v>
      </c>
      <c r="E116" s="69"/>
      <c r="F116" s="6"/>
      <c r="G116" s="19">
        <v>1190000</v>
      </c>
      <c r="H116" s="72">
        <v>2380000</v>
      </c>
      <c r="I116" s="9">
        <v>0.08</v>
      </c>
      <c r="J116" s="51">
        <f t="shared" si="2"/>
        <v>190400</v>
      </c>
      <c r="K116" s="51">
        <f t="shared" si="3"/>
        <v>2570400</v>
      </c>
      <c r="L116" s="7"/>
    </row>
    <row r="117" spans="1:12" s="8" customFormat="1" x14ac:dyDescent="0.3">
      <c r="A117" s="69">
        <v>18</v>
      </c>
      <c r="B117" s="70" t="s">
        <v>119</v>
      </c>
      <c r="C117" s="71">
        <v>2</v>
      </c>
      <c r="D117" s="69" t="s">
        <v>164</v>
      </c>
      <c r="E117" s="69"/>
      <c r="F117" s="6"/>
      <c r="G117" s="19">
        <v>630000</v>
      </c>
      <c r="H117" s="72">
        <v>1260000</v>
      </c>
      <c r="I117" s="9">
        <v>0.08</v>
      </c>
      <c r="J117" s="51">
        <f t="shared" si="2"/>
        <v>100800</v>
      </c>
      <c r="K117" s="51">
        <f t="shared" si="3"/>
        <v>1360800</v>
      </c>
      <c r="L117" s="7"/>
    </row>
    <row r="118" spans="1:12" s="8" customFormat="1" x14ac:dyDescent="0.3">
      <c r="A118" s="69"/>
      <c r="B118" s="70" t="s">
        <v>56</v>
      </c>
      <c r="C118" s="71"/>
      <c r="D118" s="69"/>
      <c r="E118" s="69"/>
      <c r="F118" s="6"/>
      <c r="G118" s="19"/>
      <c r="H118" s="72">
        <v>9000000</v>
      </c>
      <c r="I118" s="9">
        <v>0.08</v>
      </c>
      <c r="J118" s="51">
        <f t="shared" si="2"/>
        <v>720000</v>
      </c>
      <c r="K118" s="51">
        <f t="shared" si="3"/>
        <v>9720000</v>
      </c>
      <c r="L118" s="7"/>
    </row>
    <row r="119" spans="1:12" s="8" customFormat="1" x14ac:dyDescent="0.3">
      <c r="A119" s="67" t="s">
        <v>120</v>
      </c>
      <c r="B119" s="68" t="s">
        <v>121</v>
      </c>
      <c r="C119" s="68"/>
      <c r="D119" s="67"/>
      <c r="E119" s="67"/>
      <c r="F119" s="6"/>
      <c r="G119" s="19">
        <v>0</v>
      </c>
      <c r="H119" s="72">
        <v>0</v>
      </c>
      <c r="I119" s="9">
        <v>0.08</v>
      </c>
      <c r="J119" s="51">
        <f t="shared" si="2"/>
        <v>0</v>
      </c>
      <c r="K119" s="51">
        <f t="shared" si="3"/>
        <v>0</v>
      </c>
      <c r="L119" s="7"/>
    </row>
    <row r="120" spans="1:12" s="8" customFormat="1" x14ac:dyDescent="0.3">
      <c r="A120" s="69"/>
      <c r="B120" s="75" t="s">
        <v>122</v>
      </c>
      <c r="C120" s="71">
        <v>2</v>
      </c>
      <c r="D120" s="69"/>
      <c r="E120" s="69" t="s">
        <v>177</v>
      </c>
      <c r="F120" s="6"/>
      <c r="G120" s="19">
        <v>1680000</v>
      </c>
      <c r="H120" s="72">
        <v>3360000</v>
      </c>
      <c r="I120" s="9">
        <v>0.08</v>
      </c>
      <c r="J120" s="51">
        <f t="shared" si="2"/>
        <v>268800</v>
      </c>
      <c r="K120" s="51">
        <f t="shared" si="3"/>
        <v>3628800</v>
      </c>
      <c r="L120" s="7"/>
    </row>
    <row r="121" spans="1:12" s="8" customFormat="1" ht="33" x14ac:dyDescent="0.3">
      <c r="A121" s="69"/>
      <c r="B121" s="75" t="s">
        <v>123</v>
      </c>
      <c r="C121" s="71">
        <v>1</v>
      </c>
      <c r="D121" s="69"/>
      <c r="E121" s="69" t="s">
        <v>178</v>
      </c>
      <c r="F121" s="14" t="s">
        <v>225</v>
      </c>
      <c r="G121" s="19">
        <v>14699999.999999998</v>
      </c>
      <c r="H121" s="72">
        <v>14699999.999999998</v>
      </c>
      <c r="I121" s="9">
        <v>0.08</v>
      </c>
      <c r="J121" s="51">
        <f t="shared" si="2"/>
        <v>1175999.9999999998</v>
      </c>
      <c r="K121" s="51">
        <f t="shared" si="3"/>
        <v>15875999.999999998</v>
      </c>
      <c r="L121" s="7"/>
    </row>
    <row r="122" spans="1:12" s="8" customFormat="1" x14ac:dyDescent="0.3">
      <c r="A122" s="69"/>
      <c r="B122" s="75" t="s">
        <v>124</v>
      </c>
      <c r="C122" s="71">
        <v>2</v>
      </c>
      <c r="D122" s="69"/>
      <c r="E122" s="69" t="s">
        <v>179</v>
      </c>
      <c r="F122" s="6"/>
      <c r="G122" s="19">
        <v>840000</v>
      </c>
      <c r="H122" s="72">
        <v>1680000</v>
      </c>
      <c r="I122" s="9">
        <v>0.08</v>
      </c>
      <c r="J122" s="51">
        <f t="shared" si="2"/>
        <v>134400</v>
      </c>
      <c r="K122" s="51">
        <f t="shared" si="3"/>
        <v>1814400</v>
      </c>
      <c r="L122" s="7"/>
    </row>
    <row r="123" spans="1:12" s="8" customFormat="1" x14ac:dyDescent="0.3">
      <c r="A123" s="69">
        <v>2</v>
      </c>
      <c r="B123" s="70" t="s">
        <v>125</v>
      </c>
      <c r="C123" s="71">
        <v>2</v>
      </c>
      <c r="D123" s="69" t="s">
        <v>162</v>
      </c>
      <c r="E123" s="69"/>
      <c r="F123" s="6"/>
      <c r="G123" s="19">
        <v>1190000</v>
      </c>
      <c r="H123" s="72">
        <v>2380000</v>
      </c>
      <c r="I123" s="9">
        <v>0.08</v>
      </c>
      <c r="J123" s="51">
        <f t="shared" si="2"/>
        <v>190400</v>
      </c>
      <c r="K123" s="51">
        <f t="shared" si="3"/>
        <v>2570400</v>
      </c>
      <c r="L123" s="7"/>
    </row>
    <row r="124" spans="1:12" s="8" customFormat="1" x14ac:dyDescent="0.3">
      <c r="A124" s="69">
        <v>3</v>
      </c>
      <c r="B124" s="70" t="s">
        <v>126</v>
      </c>
      <c r="C124" s="71">
        <v>1</v>
      </c>
      <c r="D124" s="69" t="s">
        <v>158</v>
      </c>
      <c r="E124" s="69"/>
      <c r="F124" s="6"/>
      <c r="G124" s="19">
        <v>0</v>
      </c>
      <c r="H124" s="72">
        <v>0</v>
      </c>
      <c r="I124" s="9">
        <v>0.08</v>
      </c>
      <c r="J124" s="51">
        <f t="shared" si="2"/>
        <v>0</v>
      </c>
      <c r="K124" s="51">
        <f t="shared" si="3"/>
        <v>0</v>
      </c>
      <c r="L124" s="7"/>
    </row>
    <row r="125" spans="1:12" s="8" customFormat="1" x14ac:dyDescent="0.3">
      <c r="A125" s="69">
        <v>4</v>
      </c>
      <c r="B125" s="70" t="s">
        <v>67</v>
      </c>
      <c r="C125" s="71">
        <v>1</v>
      </c>
      <c r="D125" s="69" t="s">
        <v>158</v>
      </c>
      <c r="E125" s="69" t="str">
        <f>E57</f>
        <v>DCP-AMS</v>
      </c>
      <c r="F125" s="6"/>
      <c r="G125" s="19">
        <v>2170000</v>
      </c>
      <c r="H125" s="72">
        <v>2170000</v>
      </c>
      <c r="I125" s="9">
        <v>0.08</v>
      </c>
      <c r="J125" s="51">
        <f t="shared" si="2"/>
        <v>173600</v>
      </c>
      <c r="K125" s="51">
        <f t="shared" si="3"/>
        <v>2343600</v>
      </c>
      <c r="L125" s="7"/>
    </row>
    <row r="126" spans="1:12" s="8" customFormat="1" x14ac:dyDescent="0.3">
      <c r="A126" s="69">
        <v>5</v>
      </c>
      <c r="B126" s="70" t="s">
        <v>68</v>
      </c>
      <c r="C126" s="71">
        <v>1</v>
      </c>
      <c r="D126" s="69" t="s">
        <v>158</v>
      </c>
      <c r="E126" s="69" t="str">
        <f>E58</f>
        <v>FBB-150K</v>
      </c>
      <c r="F126" s="6"/>
      <c r="G126" s="19">
        <v>588000</v>
      </c>
      <c r="H126" s="72">
        <v>588000</v>
      </c>
      <c r="I126" s="9">
        <v>0.08</v>
      </c>
      <c r="J126" s="51">
        <f t="shared" si="2"/>
        <v>47040</v>
      </c>
      <c r="K126" s="51">
        <f t="shared" si="3"/>
        <v>635040</v>
      </c>
      <c r="L126" s="7"/>
    </row>
    <row r="127" spans="1:12" s="8" customFormat="1" ht="33" x14ac:dyDescent="0.3">
      <c r="A127" s="69">
        <v>6</v>
      </c>
      <c r="B127" s="70" t="s">
        <v>60</v>
      </c>
      <c r="C127" s="71">
        <v>1</v>
      </c>
      <c r="D127" s="69" t="s">
        <v>158</v>
      </c>
      <c r="E127" s="69" t="str">
        <f>E106</f>
        <v xml:space="preserve">DCP-R2ML </v>
      </c>
      <c r="F127" s="6"/>
      <c r="G127" s="19">
        <v>2029999.9999999998</v>
      </c>
      <c r="H127" s="72">
        <v>2029999.9999999998</v>
      </c>
      <c r="I127" s="9">
        <v>0.08</v>
      </c>
      <c r="J127" s="51">
        <f t="shared" si="2"/>
        <v>162399.99999999997</v>
      </c>
      <c r="K127" s="51">
        <f t="shared" si="3"/>
        <v>2192399.9999999995</v>
      </c>
      <c r="L127" s="7"/>
    </row>
    <row r="128" spans="1:12" s="8" customFormat="1" ht="33" x14ac:dyDescent="0.3">
      <c r="A128" s="69">
        <v>7</v>
      </c>
      <c r="B128" s="70" t="s">
        <v>62</v>
      </c>
      <c r="C128" s="71">
        <v>1</v>
      </c>
      <c r="D128" s="69" t="s">
        <v>158</v>
      </c>
      <c r="E128" s="69" t="str">
        <f>E148</f>
        <v>DCP-SCI - Hochiki/ USA</v>
      </c>
      <c r="F128" s="14" t="s">
        <v>225</v>
      </c>
      <c r="G128" s="19">
        <v>1330000</v>
      </c>
      <c r="H128" s="72">
        <v>1330000</v>
      </c>
      <c r="I128" s="9">
        <v>0.08</v>
      </c>
      <c r="J128" s="51">
        <f t="shared" si="2"/>
        <v>106400</v>
      </c>
      <c r="K128" s="51">
        <f t="shared" si="3"/>
        <v>1436400</v>
      </c>
      <c r="L128" s="7"/>
    </row>
    <row r="129" spans="1:12" s="8" customFormat="1" x14ac:dyDescent="0.3">
      <c r="A129" s="69">
        <v>9</v>
      </c>
      <c r="B129" s="70" t="s">
        <v>112</v>
      </c>
      <c r="C129" s="71">
        <v>0.03</v>
      </c>
      <c r="D129" s="69" t="s">
        <v>156</v>
      </c>
      <c r="E129" s="69"/>
      <c r="F129" s="6"/>
      <c r="G129" s="19">
        <v>3080000</v>
      </c>
      <c r="H129" s="72">
        <v>92400</v>
      </c>
      <c r="I129" s="9">
        <v>0.08</v>
      </c>
      <c r="J129" s="51">
        <f t="shared" si="2"/>
        <v>7392</v>
      </c>
      <c r="K129" s="51">
        <f t="shared" si="3"/>
        <v>99792</v>
      </c>
      <c r="L129" s="7"/>
    </row>
    <row r="130" spans="1:12" s="8" customFormat="1" x14ac:dyDescent="0.3">
      <c r="A130" s="69"/>
      <c r="B130" s="70" t="s">
        <v>56</v>
      </c>
      <c r="C130" s="71"/>
      <c r="D130" s="69"/>
      <c r="E130" s="69"/>
      <c r="F130" s="6"/>
      <c r="G130" s="19"/>
      <c r="H130" s="72">
        <v>9000000</v>
      </c>
      <c r="I130" s="9">
        <v>0.08</v>
      </c>
      <c r="J130" s="51">
        <f t="shared" si="2"/>
        <v>720000</v>
      </c>
      <c r="K130" s="51">
        <f t="shared" si="3"/>
        <v>9720000</v>
      </c>
      <c r="L130" s="7"/>
    </row>
    <row r="131" spans="1:12" s="8" customFormat="1" x14ac:dyDescent="0.3">
      <c r="A131" s="67" t="s">
        <v>127</v>
      </c>
      <c r="B131" s="68" t="s">
        <v>128</v>
      </c>
      <c r="C131" s="68"/>
      <c r="D131" s="67"/>
      <c r="E131" s="67"/>
      <c r="F131" s="6"/>
      <c r="G131" s="19"/>
      <c r="H131" s="72"/>
      <c r="I131" s="9"/>
      <c r="J131" s="51"/>
      <c r="K131" s="51"/>
      <c r="L131" s="7"/>
    </row>
    <row r="132" spans="1:12" s="8" customFormat="1" x14ac:dyDescent="0.3">
      <c r="A132" s="69">
        <v>2</v>
      </c>
      <c r="B132" s="70" t="s">
        <v>126</v>
      </c>
      <c r="C132" s="71">
        <v>3</v>
      </c>
      <c r="D132" s="69" t="s">
        <v>158</v>
      </c>
      <c r="E132" s="69" t="s">
        <v>180</v>
      </c>
      <c r="F132" s="6"/>
      <c r="G132" s="19">
        <v>1750000</v>
      </c>
      <c r="H132" s="72">
        <v>5250000</v>
      </c>
      <c r="I132" s="9">
        <v>0.08</v>
      </c>
      <c r="J132" s="51">
        <f t="shared" si="2"/>
        <v>420000</v>
      </c>
      <c r="K132" s="51">
        <f t="shared" si="3"/>
        <v>5670000</v>
      </c>
      <c r="L132" s="7"/>
    </row>
    <row r="133" spans="1:12" s="8" customFormat="1" x14ac:dyDescent="0.3">
      <c r="A133" s="69">
        <v>3</v>
      </c>
      <c r="B133" s="70" t="s">
        <v>129</v>
      </c>
      <c r="C133" s="71">
        <v>3</v>
      </c>
      <c r="D133" s="69" t="s">
        <v>158</v>
      </c>
      <c r="E133" s="69" t="s">
        <v>176</v>
      </c>
      <c r="F133" s="6"/>
      <c r="G133" s="19">
        <v>1092000</v>
      </c>
      <c r="H133" s="72">
        <v>3276000</v>
      </c>
      <c r="I133" s="9">
        <v>0.08</v>
      </c>
      <c r="J133" s="51">
        <f t="shared" si="2"/>
        <v>262080</v>
      </c>
      <c r="K133" s="51">
        <f t="shared" si="3"/>
        <v>3538080</v>
      </c>
      <c r="L133" s="7"/>
    </row>
    <row r="134" spans="1:12" s="8" customFormat="1" x14ac:dyDescent="0.3">
      <c r="A134" s="69">
        <v>4</v>
      </c>
      <c r="B134" s="70" t="s">
        <v>68</v>
      </c>
      <c r="C134" s="71">
        <v>3</v>
      </c>
      <c r="D134" s="69" t="s">
        <v>158</v>
      </c>
      <c r="E134" s="69" t="s">
        <v>174</v>
      </c>
      <c r="F134" s="6"/>
      <c r="G134" s="19">
        <v>588000</v>
      </c>
      <c r="H134" s="72">
        <v>1764000</v>
      </c>
      <c r="I134" s="9">
        <v>0.08</v>
      </c>
      <c r="J134" s="51">
        <f t="shared" si="2"/>
        <v>141120</v>
      </c>
      <c r="K134" s="51">
        <f t="shared" si="3"/>
        <v>1905120</v>
      </c>
      <c r="L134" s="7"/>
    </row>
    <row r="135" spans="1:12" ht="33" x14ac:dyDescent="0.3">
      <c r="A135" s="69">
        <v>6</v>
      </c>
      <c r="B135" s="70" t="s">
        <v>130</v>
      </c>
      <c r="C135" s="71">
        <v>9</v>
      </c>
      <c r="D135" s="69" t="s">
        <v>158</v>
      </c>
      <c r="E135" s="69" t="s">
        <v>181</v>
      </c>
      <c r="F135" s="76"/>
      <c r="G135" s="19">
        <v>1007999.9999999999</v>
      </c>
      <c r="H135" s="72">
        <v>9071999.9999999981</v>
      </c>
      <c r="I135" s="9">
        <v>0.08</v>
      </c>
      <c r="J135" s="51">
        <f t="shared" si="2"/>
        <v>725759.99999999988</v>
      </c>
      <c r="K135" s="51">
        <f t="shared" si="3"/>
        <v>9797759.9999999981</v>
      </c>
      <c r="L135" s="10"/>
    </row>
    <row r="136" spans="1:12" ht="33" x14ac:dyDescent="0.3">
      <c r="A136" s="69">
        <v>7</v>
      </c>
      <c r="B136" s="70" t="s">
        <v>131</v>
      </c>
      <c r="C136" s="71">
        <v>4</v>
      </c>
      <c r="D136" s="69" t="s">
        <v>158</v>
      </c>
      <c r="E136" s="69" t="s">
        <v>172</v>
      </c>
      <c r="F136" s="14" t="s">
        <v>225</v>
      </c>
      <c r="G136" s="19">
        <v>2029999.9999999998</v>
      </c>
      <c r="H136" s="72">
        <v>8119999.9999999991</v>
      </c>
      <c r="I136" s="9">
        <v>0.08</v>
      </c>
      <c r="J136" s="51">
        <f t="shared" si="2"/>
        <v>649599.99999999988</v>
      </c>
      <c r="K136" s="51">
        <f t="shared" si="3"/>
        <v>8769599.9999999981</v>
      </c>
      <c r="L136" s="11"/>
    </row>
    <row r="137" spans="1:12" ht="49.5" x14ac:dyDescent="0.3">
      <c r="A137" s="69">
        <v>8</v>
      </c>
      <c r="B137" s="70" t="s">
        <v>80</v>
      </c>
      <c r="C137" s="71">
        <v>3</v>
      </c>
      <c r="D137" s="69" t="s">
        <v>158</v>
      </c>
      <c r="E137" s="69" t="s">
        <v>182</v>
      </c>
      <c r="F137" s="14" t="s">
        <v>229</v>
      </c>
      <c r="G137" s="19">
        <v>1330000</v>
      </c>
      <c r="H137" s="72">
        <v>3990000</v>
      </c>
      <c r="I137" s="9">
        <v>0.08</v>
      </c>
      <c r="J137" s="51">
        <f t="shared" si="2"/>
        <v>319200</v>
      </c>
      <c r="K137" s="51">
        <f t="shared" si="3"/>
        <v>4309200</v>
      </c>
      <c r="L137" s="11"/>
    </row>
    <row r="138" spans="1:12" x14ac:dyDescent="0.3">
      <c r="A138" s="69">
        <v>9</v>
      </c>
      <c r="B138" s="70" t="s">
        <v>132</v>
      </c>
      <c r="C138" s="71">
        <v>2</v>
      </c>
      <c r="D138" s="69" t="s">
        <v>150</v>
      </c>
      <c r="E138" s="69"/>
      <c r="F138" s="12"/>
      <c r="G138" s="19">
        <v>336000</v>
      </c>
      <c r="H138" s="72">
        <v>672000</v>
      </c>
      <c r="I138" s="9">
        <v>0.08</v>
      </c>
      <c r="J138" s="51">
        <f t="shared" si="2"/>
        <v>53760</v>
      </c>
      <c r="K138" s="51">
        <f t="shared" si="3"/>
        <v>725760</v>
      </c>
      <c r="L138" s="13"/>
    </row>
    <row r="139" spans="1:12" ht="33" x14ac:dyDescent="0.3">
      <c r="A139" s="69">
        <v>10</v>
      </c>
      <c r="B139" s="70" t="s">
        <v>133</v>
      </c>
      <c r="C139" s="71">
        <v>1</v>
      </c>
      <c r="D139" s="69" t="s">
        <v>158</v>
      </c>
      <c r="E139" s="69"/>
      <c r="F139" s="12"/>
      <c r="G139" s="19">
        <v>0</v>
      </c>
      <c r="H139" s="72">
        <v>0</v>
      </c>
      <c r="I139" s="9">
        <v>0.08</v>
      </c>
      <c r="J139" s="51">
        <f t="shared" si="2"/>
        <v>0</v>
      </c>
      <c r="K139" s="51">
        <f t="shared" si="3"/>
        <v>0</v>
      </c>
      <c r="L139" s="10"/>
    </row>
    <row r="140" spans="1:12" x14ac:dyDescent="0.3">
      <c r="A140" s="69">
        <v>11</v>
      </c>
      <c r="B140" s="70" t="s">
        <v>134</v>
      </c>
      <c r="C140" s="71">
        <v>1</v>
      </c>
      <c r="D140" s="69" t="s">
        <v>165</v>
      </c>
      <c r="E140" s="69"/>
      <c r="F140" s="76"/>
      <c r="G140" s="19">
        <v>4900000</v>
      </c>
      <c r="H140" s="72">
        <v>4900000</v>
      </c>
      <c r="I140" s="9">
        <v>0.08</v>
      </c>
      <c r="J140" s="51">
        <f t="shared" ref="J140:J196" si="4">H140*I140</f>
        <v>392000</v>
      </c>
      <c r="K140" s="51">
        <f t="shared" ref="K140:K196" si="5">H140+J140</f>
        <v>5292000</v>
      </c>
      <c r="L140" s="13"/>
    </row>
    <row r="141" spans="1:12" x14ac:dyDescent="0.3">
      <c r="A141" s="69">
        <v>12</v>
      </c>
      <c r="B141" s="70" t="s">
        <v>135</v>
      </c>
      <c r="C141" s="71">
        <v>4</v>
      </c>
      <c r="D141" s="69" t="s">
        <v>158</v>
      </c>
      <c r="E141" s="69"/>
      <c r="F141" s="76"/>
      <c r="G141" s="19">
        <v>0</v>
      </c>
      <c r="H141" s="72">
        <v>0</v>
      </c>
      <c r="I141" s="9">
        <v>0.08</v>
      </c>
      <c r="J141" s="51">
        <f t="shared" si="4"/>
        <v>0</v>
      </c>
      <c r="K141" s="51">
        <f t="shared" si="5"/>
        <v>0</v>
      </c>
      <c r="L141" s="13"/>
    </row>
    <row r="142" spans="1:12" x14ac:dyDescent="0.3">
      <c r="A142" s="69">
        <v>13</v>
      </c>
      <c r="B142" s="70" t="s">
        <v>136</v>
      </c>
      <c r="C142" s="71">
        <v>4</v>
      </c>
      <c r="D142" s="69" t="s">
        <v>158</v>
      </c>
      <c r="E142" s="69"/>
      <c r="F142" s="14"/>
      <c r="G142" s="19">
        <v>0</v>
      </c>
      <c r="H142" s="72">
        <v>0</v>
      </c>
      <c r="I142" s="9">
        <v>0.08</v>
      </c>
      <c r="J142" s="51">
        <f t="shared" si="4"/>
        <v>0</v>
      </c>
      <c r="K142" s="51">
        <f t="shared" si="5"/>
        <v>0</v>
      </c>
      <c r="L142" s="10"/>
    </row>
    <row r="143" spans="1:12" s="8" customFormat="1" x14ac:dyDescent="0.3">
      <c r="A143" s="69"/>
      <c r="B143" s="70" t="s">
        <v>56</v>
      </c>
      <c r="C143" s="71"/>
      <c r="D143" s="69"/>
      <c r="E143" s="69"/>
      <c r="F143" s="6"/>
      <c r="G143" s="19"/>
      <c r="H143" s="72">
        <v>7500000</v>
      </c>
      <c r="I143" s="9">
        <v>0.08</v>
      </c>
      <c r="J143" s="51">
        <f t="shared" si="4"/>
        <v>600000</v>
      </c>
      <c r="K143" s="51">
        <f t="shared" si="5"/>
        <v>8100000</v>
      </c>
      <c r="L143" s="7"/>
    </row>
    <row r="144" spans="1:12" x14ac:dyDescent="0.3">
      <c r="A144" s="67" t="s">
        <v>137</v>
      </c>
      <c r="B144" s="68" t="s">
        <v>138</v>
      </c>
      <c r="C144" s="68"/>
      <c r="D144" s="67"/>
      <c r="E144" s="67"/>
      <c r="F144" s="76"/>
      <c r="G144" s="19"/>
      <c r="H144" s="72"/>
      <c r="I144" s="9"/>
      <c r="J144" s="51"/>
      <c r="K144" s="51"/>
      <c r="L144" s="13"/>
    </row>
    <row r="145" spans="1:12" x14ac:dyDescent="0.3">
      <c r="A145" s="69">
        <v>2</v>
      </c>
      <c r="B145" s="70" t="s">
        <v>111</v>
      </c>
      <c r="C145" s="71">
        <v>1</v>
      </c>
      <c r="D145" s="69" t="s">
        <v>158</v>
      </c>
      <c r="E145" s="69"/>
      <c r="F145" s="76"/>
      <c r="G145" s="19">
        <v>0</v>
      </c>
      <c r="H145" s="72">
        <v>0</v>
      </c>
      <c r="I145" s="9">
        <v>0.08</v>
      </c>
      <c r="J145" s="51">
        <f t="shared" si="4"/>
        <v>0</v>
      </c>
      <c r="K145" s="51">
        <f t="shared" si="5"/>
        <v>0</v>
      </c>
      <c r="L145" s="11"/>
    </row>
    <row r="146" spans="1:12" ht="33" x14ac:dyDescent="0.3">
      <c r="A146" s="69">
        <v>4</v>
      </c>
      <c r="B146" s="70" t="s">
        <v>60</v>
      </c>
      <c r="C146" s="71">
        <v>1</v>
      </c>
      <c r="D146" s="69" t="s">
        <v>158</v>
      </c>
      <c r="E146" s="69" t="str">
        <f>E136</f>
        <v>DCP-R2ML - Hochiki/ USA</v>
      </c>
      <c r="F146" s="14" t="s">
        <v>225</v>
      </c>
      <c r="G146" s="19">
        <v>2029999.9999999998</v>
      </c>
      <c r="H146" s="72">
        <v>2029999.9999999998</v>
      </c>
      <c r="I146" s="9">
        <v>0.08</v>
      </c>
      <c r="J146" s="51">
        <f t="shared" si="4"/>
        <v>162399.99999999997</v>
      </c>
      <c r="K146" s="51">
        <f t="shared" si="5"/>
        <v>2192399.9999999995</v>
      </c>
      <c r="L146" s="11"/>
    </row>
    <row r="147" spans="1:12" ht="33" x14ac:dyDescent="0.3">
      <c r="A147" s="69">
        <v>5</v>
      </c>
      <c r="B147" s="70" t="s">
        <v>61</v>
      </c>
      <c r="C147" s="71">
        <v>1</v>
      </c>
      <c r="D147" s="69" t="s">
        <v>158</v>
      </c>
      <c r="E147" s="69" t="s">
        <v>175</v>
      </c>
      <c r="F147" s="14" t="s">
        <v>225</v>
      </c>
      <c r="G147" s="19">
        <v>1750000</v>
      </c>
      <c r="H147" s="72">
        <v>1750000</v>
      </c>
      <c r="I147" s="9">
        <v>0.08</v>
      </c>
      <c r="J147" s="51">
        <f t="shared" si="4"/>
        <v>140000</v>
      </c>
      <c r="K147" s="51">
        <f t="shared" si="5"/>
        <v>1890000</v>
      </c>
      <c r="L147" s="11"/>
    </row>
    <row r="148" spans="1:12" ht="33" x14ac:dyDescent="0.3">
      <c r="A148" s="69">
        <v>6</v>
      </c>
      <c r="B148" s="70" t="s">
        <v>62</v>
      </c>
      <c r="C148" s="71">
        <v>1</v>
      </c>
      <c r="D148" s="69" t="s">
        <v>158</v>
      </c>
      <c r="E148" s="69" t="s">
        <v>183</v>
      </c>
      <c r="F148" s="14" t="s">
        <v>225</v>
      </c>
      <c r="G148" s="19">
        <v>1330000</v>
      </c>
      <c r="H148" s="72">
        <v>1330000</v>
      </c>
      <c r="I148" s="9">
        <v>0.08</v>
      </c>
      <c r="J148" s="51">
        <f t="shared" si="4"/>
        <v>106400</v>
      </c>
      <c r="K148" s="51">
        <f t="shared" si="5"/>
        <v>1436400</v>
      </c>
      <c r="L148" s="11"/>
    </row>
    <row r="149" spans="1:12" x14ac:dyDescent="0.3">
      <c r="A149" s="69">
        <v>11</v>
      </c>
      <c r="B149" s="70" t="s">
        <v>139</v>
      </c>
      <c r="C149" s="71">
        <v>1</v>
      </c>
      <c r="D149" s="69" t="s">
        <v>157</v>
      </c>
      <c r="E149" s="69"/>
      <c r="F149" s="12"/>
      <c r="G149" s="19">
        <v>0</v>
      </c>
      <c r="H149" s="72">
        <v>0</v>
      </c>
      <c r="I149" s="9">
        <v>0.08</v>
      </c>
      <c r="J149" s="51">
        <f t="shared" si="4"/>
        <v>0</v>
      </c>
      <c r="K149" s="51">
        <f t="shared" si="5"/>
        <v>0</v>
      </c>
      <c r="L149" s="10"/>
    </row>
    <row r="150" spans="1:12" x14ac:dyDescent="0.3">
      <c r="A150" s="69">
        <v>12</v>
      </c>
      <c r="B150" s="70" t="s">
        <v>116</v>
      </c>
      <c r="C150" s="71">
        <v>1</v>
      </c>
      <c r="D150" s="69" t="s">
        <v>157</v>
      </c>
      <c r="E150" s="69"/>
      <c r="F150" s="76"/>
      <c r="G150" s="19">
        <v>0</v>
      </c>
      <c r="H150" s="72">
        <v>0</v>
      </c>
      <c r="I150" s="9">
        <v>0.08</v>
      </c>
      <c r="J150" s="51">
        <f t="shared" si="4"/>
        <v>0</v>
      </c>
      <c r="K150" s="51">
        <f t="shared" si="5"/>
        <v>0</v>
      </c>
      <c r="L150" s="13"/>
    </row>
    <row r="151" spans="1:12" x14ac:dyDescent="0.3">
      <c r="A151" s="69">
        <v>13</v>
      </c>
      <c r="B151" s="70" t="s">
        <v>140</v>
      </c>
      <c r="C151" s="71">
        <v>4</v>
      </c>
      <c r="D151" s="69" t="s">
        <v>162</v>
      </c>
      <c r="E151" s="69"/>
      <c r="F151" s="76"/>
      <c r="G151" s="19">
        <v>1190000</v>
      </c>
      <c r="H151" s="77">
        <v>4760000</v>
      </c>
      <c r="I151" s="9">
        <v>0.08</v>
      </c>
      <c r="J151" s="51">
        <f t="shared" si="4"/>
        <v>380800</v>
      </c>
      <c r="K151" s="51">
        <f t="shared" si="5"/>
        <v>5140800</v>
      </c>
      <c r="L151" s="11"/>
    </row>
    <row r="152" spans="1:12" x14ac:dyDescent="0.3">
      <c r="A152" s="69"/>
      <c r="B152" s="70" t="s">
        <v>56</v>
      </c>
      <c r="C152" s="71"/>
      <c r="D152" s="69"/>
      <c r="E152" s="69"/>
      <c r="F152" s="12"/>
      <c r="G152" s="19"/>
      <c r="H152" s="77">
        <v>6000000</v>
      </c>
      <c r="I152" s="9">
        <v>0.08</v>
      </c>
      <c r="J152" s="51">
        <f t="shared" si="4"/>
        <v>480000</v>
      </c>
      <c r="K152" s="51">
        <f t="shared" si="5"/>
        <v>6480000</v>
      </c>
      <c r="L152" s="11"/>
    </row>
    <row r="153" spans="1:12" s="8" customFormat="1" x14ac:dyDescent="0.3">
      <c r="A153" s="67" t="s">
        <v>141</v>
      </c>
      <c r="B153" s="68" t="s">
        <v>142</v>
      </c>
      <c r="C153" s="68"/>
      <c r="D153" s="67"/>
      <c r="E153" s="67"/>
      <c r="F153" s="6"/>
      <c r="G153" s="19"/>
      <c r="H153" s="77"/>
      <c r="I153" s="9"/>
      <c r="J153" s="51"/>
      <c r="K153" s="51"/>
      <c r="L153" s="15"/>
    </row>
    <row r="154" spans="1:12" x14ac:dyDescent="0.3">
      <c r="A154" s="69"/>
      <c r="B154" s="70" t="s">
        <v>143</v>
      </c>
      <c r="C154" s="71">
        <v>1</v>
      </c>
      <c r="D154" s="69"/>
      <c r="E154" s="69"/>
      <c r="F154" s="12"/>
      <c r="G154" s="19">
        <v>5740000</v>
      </c>
      <c r="H154" s="77">
        <v>5740000</v>
      </c>
      <c r="I154" s="9">
        <v>0.08</v>
      </c>
      <c r="J154" s="51">
        <f t="shared" si="4"/>
        <v>459200</v>
      </c>
      <c r="K154" s="51">
        <f t="shared" si="5"/>
        <v>6199200</v>
      </c>
      <c r="L154" s="16"/>
    </row>
    <row r="155" spans="1:12" x14ac:dyDescent="0.3">
      <c r="A155" s="69"/>
      <c r="B155" s="70" t="s">
        <v>144</v>
      </c>
      <c r="C155" s="71"/>
      <c r="D155" s="69"/>
      <c r="E155" s="69"/>
      <c r="F155" s="76"/>
      <c r="G155" s="19"/>
      <c r="H155" s="77">
        <v>8500000</v>
      </c>
      <c r="I155" s="9">
        <v>0.08</v>
      </c>
      <c r="J155" s="51">
        <f t="shared" si="4"/>
        <v>680000</v>
      </c>
      <c r="K155" s="51">
        <f t="shared" si="5"/>
        <v>9180000</v>
      </c>
      <c r="L155" s="13"/>
    </row>
    <row r="156" spans="1:12" x14ac:dyDescent="0.3">
      <c r="A156" s="91" t="s">
        <v>145</v>
      </c>
      <c r="B156" s="91"/>
      <c r="C156" s="16"/>
      <c r="D156" s="20"/>
      <c r="E156" s="20"/>
      <c r="F156" s="12"/>
      <c r="G156" s="78"/>
      <c r="H156" s="79">
        <v>100000000</v>
      </c>
      <c r="I156" s="9">
        <v>0.08</v>
      </c>
      <c r="J156" s="51">
        <f t="shared" si="4"/>
        <v>8000000</v>
      </c>
      <c r="K156" s="51">
        <f t="shared" si="5"/>
        <v>108000000</v>
      </c>
      <c r="L156" s="13"/>
    </row>
    <row r="157" spans="1:12" x14ac:dyDescent="0.3">
      <c r="A157" s="20">
        <v>1</v>
      </c>
      <c r="B157" s="80" t="s">
        <v>146</v>
      </c>
      <c r="C157" s="16"/>
      <c r="D157" s="20"/>
      <c r="E157" s="20"/>
      <c r="F157" s="12"/>
      <c r="G157" s="78"/>
      <c r="H157" s="79"/>
      <c r="I157" s="9"/>
      <c r="J157" s="51"/>
      <c r="K157" s="51"/>
      <c r="L157" s="13"/>
    </row>
    <row r="158" spans="1:12" x14ac:dyDescent="0.3">
      <c r="A158" s="20">
        <v>2</v>
      </c>
      <c r="B158" s="78" t="s">
        <v>147</v>
      </c>
      <c r="C158" s="16"/>
      <c r="D158" s="20"/>
      <c r="E158" s="20"/>
      <c r="F158" s="76"/>
      <c r="G158" s="78"/>
      <c r="H158" s="79"/>
      <c r="I158" s="9"/>
      <c r="J158" s="51"/>
      <c r="K158" s="51"/>
      <c r="L158" s="13"/>
    </row>
    <row r="159" spans="1:12" x14ac:dyDescent="0.3">
      <c r="A159" s="20">
        <v>3</v>
      </c>
      <c r="B159" s="78" t="s">
        <v>148</v>
      </c>
      <c r="C159" s="16"/>
      <c r="D159" s="20"/>
      <c r="E159" s="20"/>
      <c r="F159" s="76"/>
      <c r="G159" s="78"/>
      <c r="H159" s="79"/>
      <c r="I159" s="9"/>
      <c r="J159" s="51"/>
      <c r="K159" s="51"/>
      <c r="L159" s="13"/>
    </row>
    <row r="160" spans="1:12" x14ac:dyDescent="0.3">
      <c r="A160" s="20">
        <v>4</v>
      </c>
      <c r="B160" s="78" t="s">
        <v>149</v>
      </c>
      <c r="C160" s="16"/>
      <c r="D160" s="20"/>
      <c r="E160" s="20"/>
      <c r="F160" s="76"/>
      <c r="G160" s="78"/>
      <c r="H160" s="79"/>
      <c r="I160" s="9"/>
      <c r="J160" s="51"/>
      <c r="K160" s="51"/>
      <c r="L160" s="13"/>
    </row>
    <row r="161" spans="1:12" x14ac:dyDescent="0.3">
      <c r="A161" s="92" t="s">
        <v>184</v>
      </c>
      <c r="B161" s="92"/>
      <c r="C161" s="17"/>
      <c r="D161" s="18"/>
      <c r="E161" s="20"/>
      <c r="F161" s="76"/>
      <c r="G161" s="19"/>
      <c r="H161" s="79"/>
      <c r="I161" s="9"/>
      <c r="J161" s="51"/>
      <c r="K161" s="51"/>
      <c r="L161" s="13"/>
    </row>
    <row r="162" spans="1:12" x14ac:dyDescent="0.3">
      <c r="A162" s="20">
        <v>1</v>
      </c>
      <c r="B162" s="21" t="s">
        <v>185</v>
      </c>
      <c r="C162" s="22">
        <v>120</v>
      </c>
      <c r="D162" s="20" t="s">
        <v>155</v>
      </c>
      <c r="E162" s="20"/>
      <c r="F162" s="76"/>
      <c r="G162" s="19">
        <v>70000</v>
      </c>
      <c r="H162" s="79">
        <v>8400000</v>
      </c>
      <c r="I162" s="9">
        <v>0.08</v>
      </c>
      <c r="J162" s="51">
        <f t="shared" si="4"/>
        <v>672000</v>
      </c>
      <c r="K162" s="51">
        <f t="shared" si="5"/>
        <v>9072000</v>
      </c>
      <c r="L162" s="13"/>
    </row>
    <row r="163" spans="1:12" x14ac:dyDescent="0.3">
      <c r="A163" s="20">
        <v>2</v>
      </c>
      <c r="B163" s="21" t="s">
        <v>186</v>
      </c>
      <c r="C163" s="22">
        <v>1</v>
      </c>
      <c r="D163" s="20" t="s">
        <v>164</v>
      </c>
      <c r="E163" s="20"/>
      <c r="F163" s="76"/>
      <c r="G163" s="19">
        <v>8900000</v>
      </c>
      <c r="H163" s="79">
        <v>8900000</v>
      </c>
      <c r="I163" s="9">
        <v>0.08</v>
      </c>
      <c r="J163" s="51">
        <f t="shared" si="4"/>
        <v>712000</v>
      </c>
      <c r="K163" s="51">
        <f t="shared" si="5"/>
        <v>9612000</v>
      </c>
      <c r="L163" s="13"/>
    </row>
    <row r="164" spans="1:12" x14ac:dyDescent="0.3">
      <c r="A164" s="20">
        <v>3</v>
      </c>
      <c r="B164" s="21" t="s">
        <v>187</v>
      </c>
      <c r="C164" s="22">
        <v>2</v>
      </c>
      <c r="D164" s="20" t="s">
        <v>164</v>
      </c>
      <c r="E164" s="20"/>
      <c r="F164" s="76"/>
      <c r="G164" s="19">
        <v>15760000</v>
      </c>
      <c r="H164" s="79">
        <v>31520000</v>
      </c>
      <c r="I164" s="9">
        <v>0.08</v>
      </c>
      <c r="J164" s="51">
        <f t="shared" si="4"/>
        <v>2521600</v>
      </c>
      <c r="K164" s="51">
        <f t="shared" si="5"/>
        <v>34041600</v>
      </c>
      <c r="L164" s="13"/>
    </row>
    <row r="165" spans="1:12" x14ac:dyDescent="0.3">
      <c r="A165" s="20">
        <v>4</v>
      </c>
      <c r="B165" s="21" t="s">
        <v>188</v>
      </c>
      <c r="C165" s="22">
        <v>2</v>
      </c>
      <c r="D165" s="20" t="s">
        <v>164</v>
      </c>
      <c r="E165" s="20"/>
      <c r="F165" s="76"/>
      <c r="G165" s="19">
        <v>19100000</v>
      </c>
      <c r="H165" s="79">
        <v>38200000</v>
      </c>
      <c r="I165" s="9">
        <v>0.08</v>
      </c>
      <c r="J165" s="51">
        <f t="shared" si="4"/>
        <v>3056000</v>
      </c>
      <c r="K165" s="51">
        <f t="shared" si="5"/>
        <v>41256000</v>
      </c>
      <c r="L165" s="13"/>
    </row>
    <row r="166" spans="1:12" ht="33" x14ac:dyDescent="0.3">
      <c r="A166" s="20">
        <v>5</v>
      </c>
      <c r="B166" s="21" t="s">
        <v>31</v>
      </c>
      <c r="C166" s="22">
        <v>600</v>
      </c>
      <c r="D166" s="20" t="s">
        <v>155</v>
      </c>
      <c r="E166" s="20"/>
      <c r="F166" s="76"/>
      <c r="G166" s="19">
        <v>73700</v>
      </c>
      <c r="H166" s="79">
        <v>44220000</v>
      </c>
      <c r="I166" s="9">
        <v>0.08</v>
      </c>
      <c r="J166" s="51">
        <f t="shared" si="4"/>
        <v>3537600</v>
      </c>
      <c r="K166" s="51">
        <f t="shared" si="5"/>
        <v>47757600</v>
      </c>
      <c r="L166" s="13"/>
    </row>
    <row r="167" spans="1:12" x14ac:dyDescent="0.3">
      <c r="A167" s="20">
        <v>6</v>
      </c>
      <c r="B167" s="21" t="s">
        <v>189</v>
      </c>
      <c r="C167" s="22">
        <v>300</v>
      </c>
      <c r="D167" s="20" t="s">
        <v>155</v>
      </c>
      <c r="E167" s="20"/>
      <c r="F167" s="76"/>
      <c r="G167" s="19">
        <v>38800</v>
      </c>
      <c r="H167" s="79">
        <v>11640000</v>
      </c>
      <c r="I167" s="9">
        <v>0.08</v>
      </c>
      <c r="J167" s="51">
        <f t="shared" si="4"/>
        <v>931200</v>
      </c>
      <c r="K167" s="51">
        <f t="shared" si="5"/>
        <v>12571200</v>
      </c>
      <c r="L167" s="13"/>
    </row>
    <row r="168" spans="1:12" x14ac:dyDescent="0.3">
      <c r="A168" s="20">
        <v>7</v>
      </c>
      <c r="B168" s="21" t="s">
        <v>130</v>
      </c>
      <c r="C168" s="22">
        <v>3</v>
      </c>
      <c r="D168" s="20" t="s">
        <v>158</v>
      </c>
      <c r="E168" s="20"/>
      <c r="F168" s="76"/>
      <c r="G168" s="19">
        <v>1158900</v>
      </c>
      <c r="H168" s="79">
        <v>3476700</v>
      </c>
      <c r="I168" s="9">
        <v>0.08</v>
      </c>
      <c r="J168" s="51">
        <f t="shared" si="4"/>
        <v>278136</v>
      </c>
      <c r="K168" s="51">
        <f t="shared" si="5"/>
        <v>3754836</v>
      </c>
      <c r="L168" s="13"/>
    </row>
    <row r="169" spans="1:12" x14ac:dyDescent="0.3">
      <c r="A169" s="20">
        <v>8</v>
      </c>
      <c r="B169" s="21" t="s">
        <v>190</v>
      </c>
      <c r="C169" s="22">
        <v>1</v>
      </c>
      <c r="D169" s="20" t="s">
        <v>164</v>
      </c>
      <c r="E169" s="20"/>
      <c r="F169" s="76"/>
      <c r="G169" s="19">
        <v>34350000</v>
      </c>
      <c r="H169" s="79">
        <v>34350000</v>
      </c>
      <c r="I169" s="9">
        <v>0.08</v>
      </c>
      <c r="J169" s="51">
        <f t="shared" si="4"/>
        <v>2748000</v>
      </c>
      <c r="K169" s="51">
        <f t="shared" si="5"/>
        <v>37098000</v>
      </c>
      <c r="L169" s="13"/>
    </row>
    <row r="170" spans="1:12" x14ac:dyDescent="0.3">
      <c r="A170" s="20">
        <v>9</v>
      </c>
      <c r="B170" s="21" t="s">
        <v>191</v>
      </c>
      <c r="C170" s="22">
        <v>2</v>
      </c>
      <c r="D170" s="20" t="s">
        <v>164</v>
      </c>
      <c r="E170" s="20"/>
      <c r="F170" s="76"/>
      <c r="G170" s="19">
        <v>523000</v>
      </c>
      <c r="H170" s="79">
        <v>1046000</v>
      </c>
      <c r="I170" s="9">
        <v>0.08</v>
      </c>
      <c r="J170" s="51">
        <f t="shared" si="4"/>
        <v>83680</v>
      </c>
      <c r="K170" s="51">
        <f t="shared" si="5"/>
        <v>1129680</v>
      </c>
      <c r="L170" s="13"/>
    </row>
    <row r="171" spans="1:12" x14ac:dyDescent="0.3">
      <c r="A171" s="20">
        <v>10</v>
      </c>
      <c r="B171" s="21" t="s">
        <v>192</v>
      </c>
      <c r="C171" s="22">
        <v>40</v>
      </c>
      <c r="D171" s="20" t="s">
        <v>155</v>
      </c>
      <c r="E171" s="20"/>
      <c r="F171" s="76"/>
      <c r="G171" s="19">
        <v>250000</v>
      </c>
      <c r="H171" s="79">
        <v>10000000</v>
      </c>
      <c r="I171" s="9">
        <v>0.08</v>
      </c>
      <c r="J171" s="51">
        <f t="shared" si="4"/>
        <v>800000</v>
      </c>
      <c r="K171" s="51">
        <f t="shared" si="5"/>
        <v>10800000</v>
      </c>
      <c r="L171" s="13"/>
    </row>
    <row r="172" spans="1:12" x14ac:dyDescent="0.3">
      <c r="A172" s="20">
        <v>11</v>
      </c>
      <c r="B172" s="21" t="s">
        <v>193</v>
      </c>
      <c r="C172" s="22">
        <v>12</v>
      </c>
      <c r="D172" s="20" t="s">
        <v>150</v>
      </c>
      <c r="E172" s="20"/>
      <c r="F172" s="76"/>
      <c r="G172" s="19">
        <v>50000</v>
      </c>
      <c r="H172" s="79">
        <v>600000</v>
      </c>
      <c r="I172" s="9">
        <v>0.08</v>
      </c>
      <c r="J172" s="51">
        <f t="shared" si="4"/>
        <v>48000</v>
      </c>
      <c r="K172" s="51">
        <f t="shared" si="5"/>
        <v>648000</v>
      </c>
      <c r="L172" s="13"/>
    </row>
    <row r="173" spans="1:12" x14ac:dyDescent="0.3">
      <c r="A173" s="20">
        <v>12</v>
      </c>
      <c r="B173" s="21" t="s">
        <v>194</v>
      </c>
      <c r="C173" s="22">
        <v>4</v>
      </c>
      <c r="D173" s="20" t="s">
        <v>158</v>
      </c>
      <c r="E173" s="20"/>
      <c r="F173" s="76"/>
      <c r="G173" s="19">
        <v>125000</v>
      </c>
      <c r="H173" s="79">
        <v>500000</v>
      </c>
      <c r="I173" s="9">
        <v>0.08</v>
      </c>
      <c r="J173" s="51">
        <f t="shared" si="4"/>
        <v>40000</v>
      </c>
      <c r="K173" s="51">
        <f t="shared" si="5"/>
        <v>540000</v>
      </c>
      <c r="L173" s="13"/>
    </row>
    <row r="174" spans="1:12" x14ac:dyDescent="0.3">
      <c r="A174" s="20">
        <v>13</v>
      </c>
      <c r="B174" s="21" t="s">
        <v>92</v>
      </c>
      <c r="C174" s="22">
        <v>60</v>
      </c>
      <c r="D174" s="20" t="s">
        <v>155</v>
      </c>
      <c r="E174" s="20"/>
      <c r="F174" s="76"/>
      <c r="G174" s="19">
        <v>31500</v>
      </c>
      <c r="H174" s="79">
        <v>1890000</v>
      </c>
      <c r="I174" s="9">
        <v>0.08</v>
      </c>
      <c r="J174" s="51">
        <f t="shared" si="4"/>
        <v>151200</v>
      </c>
      <c r="K174" s="51">
        <f t="shared" si="5"/>
        <v>2041200</v>
      </c>
      <c r="L174" s="13"/>
    </row>
    <row r="175" spans="1:12" x14ac:dyDescent="0.3">
      <c r="A175" s="20">
        <v>14</v>
      </c>
      <c r="B175" s="21" t="s">
        <v>195</v>
      </c>
      <c r="C175" s="22">
        <v>15</v>
      </c>
      <c r="D175" s="20" t="s">
        <v>155</v>
      </c>
      <c r="E175" s="20"/>
      <c r="F175" s="76"/>
      <c r="G175" s="19">
        <v>1239300</v>
      </c>
      <c r="H175" s="79">
        <v>18589500</v>
      </c>
      <c r="I175" s="9">
        <v>0.08</v>
      </c>
      <c r="J175" s="51">
        <f t="shared" si="4"/>
        <v>1487160</v>
      </c>
      <c r="K175" s="51">
        <f t="shared" si="5"/>
        <v>20076660</v>
      </c>
      <c r="L175" s="13"/>
    </row>
    <row r="176" spans="1:12" x14ac:dyDescent="0.3">
      <c r="A176" s="20">
        <v>15</v>
      </c>
      <c r="B176" s="21" t="s">
        <v>196</v>
      </c>
      <c r="C176" s="22">
        <v>15</v>
      </c>
      <c r="D176" s="20" t="s">
        <v>155</v>
      </c>
      <c r="E176" s="20"/>
      <c r="F176" s="76"/>
      <c r="G176" s="19">
        <v>244000</v>
      </c>
      <c r="H176" s="79">
        <v>3660000</v>
      </c>
      <c r="I176" s="9">
        <v>0.08</v>
      </c>
      <c r="J176" s="51">
        <f t="shared" si="4"/>
        <v>292800</v>
      </c>
      <c r="K176" s="51">
        <f t="shared" si="5"/>
        <v>3952800</v>
      </c>
      <c r="L176" s="13"/>
    </row>
    <row r="177" spans="1:12" x14ac:dyDescent="0.3">
      <c r="A177" s="20">
        <v>16</v>
      </c>
      <c r="B177" s="21" t="s">
        <v>197</v>
      </c>
      <c r="C177" s="22">
        <v>50</v>
      </c>
      <c r="D177" s="20" t="s">
        <v>155</v>
      </c>
      <c r="E177" s="20"/>
      <c r="F177" s="76"/>
      <c r="G177" s="19">
        <v>21750</v>
      </c>
      <c r="H177" s="79">
        <v>1087500</v>
      </c>
      <c r="I177" s="9">
        <v>0.08</v>
      </c>
      <c r="J177" s="51">
        <f t="shared" si="4"/>
        <v>87000</v>
      </c>
      <c r="K177" s="51">
        <f t="shared" si="5"/>
        <v>1174500</v>
      </c>
      <c r="L177" s="13"/>
    </row>
    <row r="178" spans="1:12" x14ac:dyDescent="0.3">
      <c r="A178" s="20">
        <v>17</v>
      </c>
      <c r="B178" s="21" t="s">
        <v>198</v>
      </c>
      <c r="C178" s="22">
        <v>20</v>
      </c>
      <c r="D178" s="20" t="s">
        <v>155</v>
      </c>
      <c r="E178" s="20"/>
      <c r="F178" s="76"/>
      <c r="G178" s="19">
        <v>27600</v>
      </c>
      <c r="H178" s="79">
        <v>552000</v>
      </c>
      <c r="I178" s="9">
        <v>0.08</v>
      </c>
      <c r="J178" s="51">
        <f t="shared" si="4"/>
        <v>44160</v>
      </c>
      <c r="K178" s="51">
        <f t="shared" si="5"/>
        <v>596160</v>
      </c>
      <c r="L178" s="13"/>
    </row>
    <row r="179" spans="1:12" x14ac:dyDescent="0.3">
      <c r="A179" s="20">
        <v>18</v>
      </c>
      <c r="B179" s="21" t="s">
        <v>199</v>
      </c>
      <c r="C179" s="22">
        <v>20</v>
      </c>
      <c r="D179" s="20" t="s">
        <v>155</v>
      </c>
      <c r="E179" s="20"/>
      <c r="F179" s="76"/>
      <c r="G179" s="19">
        <v>277800</v>
      </c>
      <c r="H179" s="79">
        <v>5556000</v>
      </c>
      <c r="I179" s="9">
        <v>0.08</v>
      </c>
      <c r="J179" s="51">
        <f t="shared" si="4"/>
        <v>444480</v>
      </c>
      <c r="K179" s="51">
        <f t="shared" si="5"/>
        <v>6000480</v>
      </c>
      <c r="L179" s="13"/>
    </row>
    <row r="180" spans="1:12" x14ac:dyDescent="0.3">
      <c r="A180" s="20">
        <v>19</v>
      </c>
      <c r="B180" s="21" t="s">
        <v>200</v>
      </c>
      <c r="C180" s="22">
        <v>20</v>
      </c>
      <c r="D180" s="20" t="s">
        <v>155</v>
      </c>
      <c r="E180" s="20"/>
      <c r="F180" s="76"/>
      <c r="G180" s="19">
        <v>153500</v>
      </c>
      <c r="H180" s="79">
        <v>3070000</v>
      </c>
      <c r="I180" s="9">
        <v>0.08</v>
      </c>
      <c r="J180" s="51">
        <f t="shared" si="4"/>
        <v>245600</v>
      </c>
      <c r="K180" s="51">
        <f t="shared" si="5"/>
        <v>3315600</v>
      </c>
      <c r="L180" s="13"/>
    </row>
    <row r="181" spans="1:12" x14ac:dyDescent="0.3">
      <c r="A181" s="20">
        <v>20</v>
      </c>
      <c r="B181" s="21" t="s">
        <v>201</v>
      </c>
      <c r="C181" s="22">
        <v>4</v>
      </c>
      <c r="D181" s="20" t="s">
        <v>158</v>
      </c>
      <c r="E181" s="20"/>
      <c r="F181" s="76"/>
      <c r="G181" s="19">
        <v>46100</v>
      </c>
      <c r="H181" s="79">
        <v>184400</v>
      </c>
      <c r="I181" s="9">
        <v>0.08</v>
      </c>
      <c r="J181" s="51">
        <f t="shared" si="4"/>
        <v>14752</v>
      </c>
      <c r="K181" s="51">
        <f t="shared" si="5"/>
        <v>199152</v>
      </c>
      <c r="L181" s="13"/>
    </row>
    <row r="182" spans="1:12" x14ac:dyDescent="0.3">
      <c r="A182" s="20">
        <v>21</v>
      </c>
      <c r="B182" s="21" t="s">
        <v>202</v>
      </c>
      <c r="C182" s="22">
        <v>3</v>
      </c>
      <c r="D182" s="20" t="s">
        <v>158</v>
      </c>
      <c r="E182" s="20"/>
      <c r="F182" s="76"/>
      <c r="G182" s="19">
        <v>63000</v>
      </c>
      <c r="H182" s="79">
        <v>189000</v>
      </c>
      <c r="I182" s="9">
        <v>0.08</v>
      </c>
      <c r="J182" s="51">
        <f t="shared" si="4"/>
        <v>15120</v>
      </c>
      <c r="K182" s="51">
        <f t="shared" si="5"/>
        <v>204120</v>
      </c>
      <c r="L182" s="13"/>
    </row>
    <row r="183" spans="1:12" x14ac:dyDescent="0.3">
      <c r="A183" s="20">
        <v>22</v>
      </c>
      <c r="B183" s="21" t="s">
        <v>203</v>
      </c>
      <c r="C183" s="22">
        <v>2</v>
      </c>
      <c r="D183" s="20" t="s">
        <v>158</v>
      </c>
      <c r="E183" s="20"/>
      <c r="F183" s="76"/>
      <c r="G183" s="19">
        <v>138000</v>
      </c>
      <c r="H183" s="79">
        <v>276000</v>
      </c>
      <c r="I183" s="9">
        <v>0.08</v>
      </c>
      <c r="J183" s="51">
        <f t="shared" si="4"/>
        <v>22080</v>
      </c>
      <c r="K183" s="51">
        <f t="shared" si="5"/>
        <v>298080</v>
      </c>
      <c r="L183" s="13"/>
    </row>
    <row r="184" spans="1:12" x14ac:dyDescent="0.3">
      <c r="A184" s="20">
        <v>23</v>
      </c>
      <c r="B184" s="21" t="s">
        <v>204</v>
      </c>
      <c r="C184" s="22">
        <v>3</v>
      </c>
      <c r="D184" s="20" t="s">
        <v>158</v>
      </c>
      <c r="E184" s="20"/>
      <c r="F184" s="76"/>
      <c r="G184" s="19">
        <v>164000</v>
      </c>
      <c r="H184" s="79">
        <v>492000</v>
      </c>
      <c r="I184" s="9">
        <v>0.08</v>
      </c>
      <c r="J184" s="51">
        <f t="shared" si="4"/>
        <v>39360</v>
      </c>
      <c r="K184" s="51">
        <f t="shared" si="5"/>
        <v>531360</v>
      </c>
      <c r="L184" s="13"/>
    </row>
    <row r="185" spans="1:12" x14ac:dyDescent="0.3">
      <c r="A185" s="20">
        <v>24</v>
      </c>
      <c r="B185" s="21" t="s">
        <v>205</v>
      </c>
      <c r="C185" s="22">
        <v>2</v>
      </c>
      <c r="D185" s="20" t="s">
        <v>158</v>
      </c>
      <c r="E185" s="20"/>
      <c r="F185" s="76"/>
      <c r="G185" s="19">
        <v>474000</v>
      </c>
      <c r="H185" s="79">
        <v>948000</v>
      </c>
      <c r="I185" s="9">
        <v>0.08</v>
      </c>
      <c r="J185" s="51">
        <f t="shared" si="4"/>
        <v>75840</v>
      </c>
      <c r="K185" s="51">
        <f t="shared" si="5"/>
        <v>1023840</v>
      </c>
      <c r="L185" s="13"/>
    </row>
    <row r="186" spans="1:12" x14ac:dyDescent="0.3">
      <c r="A186" s="20">
        <v>25</v>
      </c>
      <c r="B186" s="21" t="s">
        <v>206</v>
      </c>
      <c r="C186" s="22">
        <v>4</v>
      </c>
      <c r="D186" s="20" t="s">
        <v>158</v>
      </c>
      <c r="E186" s="20"/>
      <c r="F186" s="76"/>
      <c r="G186" s="19">
        <v>644300</v>
      </c>
      <c r="H186" s="79">
        <v>2577200</v>
      </c>
      <c r="I186" s="9">
        <v>0.08</v>
      </c>
      <c r="J186" s="51">
        <f t="shared" si="4"/>
        <v>206176</v>
      </c>
      <c r="K186" s="51">
        <f t="shared" si="5"/>
        <v>2783376</v>
      </c>
      <c r="L186" s="13"/>
    </row>
    <row r="187" spans="1:12" x14ac:dyDescent="0.3">
      <c r="A187" s="20">
        <v>26</v>
      </c>
      <c r="B187" s="21" t="s">
        <v>207</v>
      </c>
      <c r="C187" s="22">
        <v>2</v>
      </c>
      <c r="D187" s="20" t="s">
        <v>158</v>
      </c>
      <c r="E187" s="20"/>
      <c r="F187" s="76"/>
      <c r="G187" s="19">
        <v>2105000</v>
      </c>
      <c r="H187" s="79">
        <v>4210000</v>
      </c>
      <c r="I187" s="9">
        <v>0.08</v>
      </c>
      <c r="J187" s="51">
        <f t="shared" si="4"/>
        <v>336800</v>
      </c>
      <c r="K187" s="51">
        <f t="shared" si="5"/>
        <v>4546800</v>
      </c>
      <c r="L187" s="13"/>
    </row>
    <row r="188" spans="1:12" x14ac:dyDescent="0.3">
      <c r="A188" s="20">
        <v>27</v>
      </c>
      <c r="B188" s="21" t="s">
        <v>208</v>
      </c>
      <c r="C188" s="22">
        <v>10</v>
      </c>
      <c r="D188" s="20" t="s">
        <v>158</v>
      </c>
      <c r="E188" s="20"/>
      <c r="F188" s="76"/>
      <c r="G188" s="19">
        <v>316500</v>
      </c>
      <c r="H188" s="79">
        <v>3165000</v>
      </c>
      <c r="I188" s="9">
        <v>0.08</v>
      </c>
      <c r="J188" s="51">
        <f t="shared" si="4"/>
        <v>253200</v>
      </c>
      <c r="K188" s="51">
        <f t="shared" si="5"/>
        <v>3418200</v>
      </c>
      <c r="L188" s="13"/>
    </row>
    <row r="189" spans="1:12" ht="33" x14ac:dyDescent="0.3">
      <c r="A189" s="20">
        <v>28</v>
      </c>
      <c r="B189" s="21" t="s">
        <v>209</v>
      </c>
      <c r="C189" s="22">
        <v>1</v>
      </c>
      <c r="D189" s="20" t="s">
        <v>217</v>
      </c>
      <c r="E189" s="20"/>
      <c r="F189" s="76"/>
      <c r="G189" s="19">
        <v>12000000</v>
      </c>
      <c r="H189" s="79">
        <v>12000000</v>
      </c>
      <c r="I189" s="9">
        <v>0.08</v>
      </c>
      <c r="J189" s="51">
        <f t="shared" si="4"/>
        <v>960000</v>
      </c>
      <c r="K189" s="51">
        <f t="shared" si="5"/>
        <v>12960000</v>
      </c>
      <c r="L189" s="13"/>
    </row>
    <row r="190" spans="1:12" x14ac:dyDescent="0.3">
      <c r="A190" s="20">
        <v>29</v>
      </c>
      <c r="B190" s="21" t="s">
        <v>210</v>
      </c>
      <c r="C190" s="22">
        <v>1</v>
      </c>
      <c r="D190" s="20" t="s">
        <v>217</v>
      </c>
      <c r="E190" s="20"/>
      <c r="F190" s="76"/>
      <c r="G190" s="19">
        <v>7700000</v>
      </c>
      <c r="H190" s="79">
        <v>7700000</v>
      </c>
      <c r="I190" s="9">
        <v>0.08</v>
      </c>
      <c r="J190" s="51">
        <f t="shared" si="4"/>
        <v>616000</v>
      </c>
      <c r="K190" s="51">
        <f t="shared" si="5"/>
        <v>8316000</v>
      </c>
      <c r="L190" s="13"/>
    </row>
    <row r="191" spans="1:12" x14ac:dyDescent="0.3">
      <c r="A191" s="20">
        <v>30</v>
      </c>
      <c r="B191" s="21" t="s">
        <v>211</v>
      </c>
      <c r="C191" s="22">
        <v>1</v>
      </c>
      <c r="D191" s="20" t="s">
        <v>217</v>
      </c>
      <c r="E191" s="20"/>
      <c r="F191" s="76"/>
      <c r="G191" s="23">
        <v>20000000</v>
      </c>
      <c r="H191" s="79">
        <v>20000000</v>
      </c>
      <c r="I191" s="9">
        <v>0.08</v>
      </c>
      <c r="J191" s="51">
        <f t="shared" si="4"/>
        <v>1600000</v>
      </c>
      <c r="K191" s="51">
        <f t="shared" si="5"/>
        <v>21600000</v>
      </c>
      <c r="L191" s="13"/>
    </row>
    <row r="192" spans="1:12" x14ac:dyDescent="0.3">
      <c r="A192" s="20">
        <v>31</v>
      </c>
      <c r="B192" s="21" t="s">
        <v>212</v>
      </c>
      <c r="C192" s="22">
        <v>3200</v>
      </c>
      <c r="D192" s="20" t="s">
        <v>155</v>
      </c>
      <c r="E192" s="20"/>
      <c r="F192" s="76"/>
      <c r="G192" s="23">
        <v>17000</v>
      </c>
      <c r="H192" s="79">
        <v>54400000</v>
      </c>
      <c r="I192" s="9">
        <v>0.08</v>
      </c>
      <c r="J192" s="51">
        <f t="shared" si="4"/>
        <v>4352000</v>
      </c>
      <c r="K192" s="51">
        <f t="shared" si="5"/>
        <v>58752000</v>
      </c>
      <c r="L192" s="13"/>
    </row>
    <row r="193" spans="1:12" x14ac:dyDescent="0.3">
      <c r="A193" s="20">
        <v>32</v>
      </c>
      <c r="B193" s="21" t="s">
        <v>213</v>
      </c>
      <c r="C193" s="22">
        <v>9</v>
      </c>
      <c r="D193" s="20" t="s">
        <v>164</v>
      </c>
      <c r="E193" s="20"/>
      <c r="F193" s="76"/>
      <c r="G193" s="23">
        <v>12000000</v>
      </c>
      <c r="H193" s="79">
        <v>108000000</v>
      </c>
      <c r="I193" s="9">
        <v>0.08</v>
      </c>
      <c r="J193" s="51">
        <f t="shared" si="4"/>
        <v>8640000</v>
      </c>
      <c r="K193" s="51">
        <f t="shared" si="5"/>
        <v>116640000</v>
      </c>
      <c r="L193" s="13"/>
    </row>
    <row r="194" spans="1:12" x14ac:dyDescent="0.3">
      <c r="A194" s="20">
        <v>33</v>
      </c>
      <c r="B194" s="21" t="s">
        <v>214</v>
      </c>
      <c r="C194" s="22">
        <v>3700</v>
      </c>
      <c r="D194" s="20" t="s">
        <v>155</v>
      </c>
      <c r="E194" s="20"/>
      <c r="F194" s="76"/>
      <c r="G194" s="23">
        <v>35000</v>
      </c>
      <c r="H194" s="79">
        <v>129500000</v>
      </c>
      <c r="I194" s="9">
        <v>0.08</v>
      </c>
      <c r="J194" s="51">
        <f t="shared" si="4"/>
        <v>10360000</v>
      </c>
      <c r="K194" s="51">
        <f t="shared" si="5"/>
        <v>139860000</v>
      </c>
      <c r="L194" s="13"/>
    </row>
    <row r="195" spans="1:12" x14ac:dyDescent="0.3">
      <c r="A195" s="20">
        <v>34</v>
      </c>
      <c r="B195" s="21" t="s">
        <v>215</v>
      </c>
      <c r="C195" s="22">
        <v>1</v>
      </c>
      <c r="D195" s="20" t="s">
        <v>164</v>
      </c>
      <c r="E195" s="20"/>
      <c r="F195" s="76"/>
      <c r="G195" s="23">
        <v>45000000</v>
      </c>
      <c r="H195" s="79">
        <v>45000000</v>
      </c>
      <c r="I195" s="9">
        <v>0.08</v>
      </c>
      <c r="J195" s="51">
        <f t="shared" si="4"/>
        <v>3600000</v>
      </c>
      <c r="K195" s="51">
        <f t="shared" si="5"/>
        <v>48600000</v>
      </c>
      <c r="L195" s="13"/>
    </row>
    <row r="196" spans="1:12" x14ac:dyDescent="0.3">
      <c r="A196" s="24">
        <v>35</v>
      </c>
      <c r="B196" s="25" t="s">
        <v>216</v>
      </c>
      <c r="C196" s="26">
        <v>1</v>
      </c>
      <c r="D196" s="24" t="s">
        <v>217</v>
      </c>
      <c r="E196" s="24"/>
      <c r="F196" s="81"/>
      <c r="G196" s="27">
        <v>35000000</v>
      </c>
      <c r="H196" s="82">
        <v>35000000</v>
      </c>
      <c r="I196" s="83">
        <v>0.08</v>
      </c>
      <c r="J196" s="84">
        <f t="shared" si="4"/>
        <v>2800000</v>
      </c>
      <c r="K196" s="84">
        <f t="shared" si="5"/>
        <v>37800000</v>
      </c>
      <c r="L196" s="85"/>
    </row>
    <row r="197" spans="1:12" x14ac:dyDescent="0.3">
      <c r="A197" s="86" t="s">
        <v>14</v>
      </c>
      <c r="B197" s="86"/>
      <c r="C197" s="86"/>
      <c r="D197" s="86"/>
      <c r="E197" s="86"/>
      <c r="F197" s="86"/>
      <c r="G197" s="86"/>
      <c r="H197" s="28"/>
      <c r="I197" s="29"/>
      <c r="J197" s="30"/>
      <c r="K197" s="28">
        <f>SUM(H8:H196)</f>
        <v>1190878820</v>
      </c>
      <c r="L197" s="31"/>
    </row>
    <row r="198" spans="1:12" x14ac:dyDescent="0.3">
      <c r="A198" s="86" t="s">
        <v>9</v>
      </c>
      <c r="B198" s="86"/>
      <c r="C198" s="86"/>
      <c r="D198" s="86"/>
      <c r="E198" s="86"/>
      <c r="F198" s="86"/>
      <c r="G198" s="86"/>
      <c r="H198" s="28"/>
      <c r="I198" s="29"/>
      <c r="J198" s="30"/>
      <c r="K198" s="28">
        <f>SUM(J8:J196)</f>
        <v>95270305.599999994</v>
      </c>
      <c r="L198" s="31"/>
    </row>
    <row r="199" spans="1:12" x14ac:dyDescent="0.3">
      <c r="A199" s="86" t="s">
        <v>15</v>
      </c>
      <c r="B199" s="86"/>
      <c r="C199" s="86"/>
      <c r="D199" s="86"/>
      <c r="E199" s="86"/>
      <c r="F199" s="86"/>
      <c r="G199" s="86"/>
      <c r="H199" s="32"/>
      <c r="I199" s="32"/>
      <c r="J199" s="33"/>
      <c r="K199" s="28">
        <f>K197+K198</f>
        <v>1286149125.5999999</v>
      </c>
      <c r="L199" s="31"/>
    </row>
    <row r="200" spans="1:12" x14ac:dyDescent="0.3">
      <c r="A200" s="87" t="s">
        <v>218</v>
      </c>
      <c r="B200" s="87"/>
      <c r="C200" s="87"/>
      <c r="D200" s="87"/>
      <c r="E200" s="87"/>
      <c r="F200" s="87"/>
      <c r="G200" s="87"/>
      <c r="H200" s="87"/>
      <c r="I200" s="87"/>
      <c r="J200" s="87"/>
      <c r="K200" s="87"/>
      <c r="L200" s="87"/>
    </row>
    <row r="201" spans="1:12" x14ac:dyDescent="0.3">
      <c r="E201" s="37"/>
      <c r="F201" s="37"/>
      <c r="G201" s="38"/>
      <c r="H201" s="39"/>
      <c r="I201" s="39"/>
      <c r="J201" s="39"/>
      <c r="K201" s="39"/>
    </row>
    <row r="202" spans="1:12" x14ac:dyDescent="0.3">
      <c r="G202" s="40"/>
      <c r="H202" s="41"/>
      <c r="I202" s="41"/>
      <c r="J202" s="42"/>
      <c r="K202" s="43"/>
      <c r="L202" s="44"/>
    </row>
    <row r="203" spans="1:12" x14ac:dyDescent="0.3">
      <c r="G203" s="40"/>
      <c r="J203" s="42"/>
      <c r="K203" s="43"/>
      <c r="L203" s="44"/>
    </row>
    <row r="204" spans="1:12" x14ac:dyDescent="0.3">
      <c r="E204" s="45"/>
      <c r="F204" s="45"/>
      <c r="G204" s="40"/>
      <c r="H204" s="41"/>
      <c r="I204" s="41"/>
      <c r="J204" s="42"/>
      <c r="K204" s="43"/>
      <c r="L204" s="44"/>
    </row>
    <row r="205" spans="1:12" x14ac:dyDescent="0.3">
      <c r="G205" s="46"/>
      <c r="J205" s="42"/>
      <c r="K205" s="43"/>
      <c r="L205" s="44"/>
    </row>
    <row r="206" spans="1:12" x14ac:dyDescent="0.3">
      <c r="E206" s="47"/>
      <c r="F206" s="47"/>
      <c r="G206" s="46"/>
      <c r="H206" s="48"/>
      <c r="I206" s="48"/>
      <c r="J206" s="42"/>
      <c r="K206" s="43"/>
      <c r="L206" s="44"/>
    </row>
    <row r="207" spans="1:12" x14ac:dyDescent="0.3">
      <c r="K207" s="50"/>
    </row>
  </sheetData>
  <autoFilter ref="A7:L200" xr:uid="{00000000-0001-0000-0000-000000000000}"/>
  <mergeCells count="22">
    <mergeCell ref="A1:L1"/>
    <mergeCell ref="A2:L2"/>
    <mergeCell ref="A3:L3"/>
    <mergeCell ref="A4:L4"/>
    <mergeCell ref="A6:A7"/>
    <mergeCell ref="B6:B7"/>
    <mergeCell ref="C6:C7"/>
    <mergeCell ref="D6:D7"/>
    <mergeCell ref="E6:E7"/>
    <mergeCell ref="F6:F7"/>
    <mergeCell ref="G6:G7"/>
    <mergeCell ref="H6:H7"/>
    <mergeCell ref="I6:J6"/>
    <mergeCell ref="A197:G197"/>
    <mergeCell ref="A199:G199"/>
    <mergeCell ref="A198:G198"/>
    <mergeCell ref="A200:L200"/>
    <mergeCell ref="K6:K7"/>
    <mergeCell ref="L6:L7"/>
    <mergeCell ref="A8:B8"/>
    <mergeCell ref="A156:B156"/>
    <mergeCell ref="A161:B161"/>
  </mergeCells>
  <phoneticPr fontId="6" type="noConversion"/>
  <conditionalFormatting sqref="C161:C196">
    <cfRule type="cellIs" dxfId="3" priority="2" stopIfTrue="1" operator="equal">
      <formula>0</formula>
    </cfRule>
  </conditionalFormatting>
  <conditionalFormatting sqref="G161:G196">
    <cfRule type="cellIs" dxfId="2" priority="1" stopIfTrue="1" operator="equal">
      <formula>0</formula>
    </cfRule>
  </conditionalFormatting>
  <conditionalFormatting sqref="H197:H198">
    <cfRule type="expression" dxfId="1" priority="4">
      <formula>$H$209&lt;&gt;$L$209</formula>
    </cfRule>
  </conditionalFormatting>
  <conditionalFormatting sqref="K197:K199">
    <cfRule type="expression" dxfId="0" priority="3">
      <formula>$H$209&lt;&gt;$L$209</formula>
    </cfRule>
  </conditionalFormatting>
  <dataValidations count="1">
    <dataValidation type="whole" showErrorMessage="1" errorTitle="Lưu ý" error="Nhập số nguyên lớn hơn -999,999,999,999,999 và nhỏ hơn 999,999,999,999,999" promptTitle="Lưu ý" prompt="Nhập số nguyên lớn hơn -999,999,999,999,999 và nhỏ hơn 999,999,999,999,999" sqref="G135:G196" xr:uid="{64D64113-2DB1-4297-A28A-6D3FE543D2D3}">
      <formula1>-999999999999999</formula1>
      <formula2>999999999999999</formula2>
    </dataValidation>
  </dataValidations>
  <printOptions horizontalCentered="1"/>
  <pageMargins left="0.18" right="0.17" top="0.34" bottom="0.32" header="0.11" footer="0.14000000000000001"/>
  <pageSetup paperSize="9" scale="58" fitToHeight="0" orientation="landscape"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Trang tính</vt:lpstr>
      </vt:variant>
      <vt:variant>
        <vt:i4>1</vt:i4>
      </vt:variant>
      <vt:variant>
        <vt:lpstr>Phạm vi Có tên</vt:lpstr>
      </vt:variant>
      <vt:variant>
        <vt:i4>2</vt:i4>
      </vt:variant>
    </vt:vector>
  </HeadingPairs>
  <TitlesOfParts>
    <vt:vector size="3" baseType="lpstr">
      <vt:lpstr>Scada_TTLL</vt:lpstr>
      <vt:lpstr>Scada_TTLL!Print_Titles</vt:lpstr>
      <vt:lpstr>Scada_TTLL!Vùng_In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2025-03-28T02:44:09Z</dcterms:created>
  <dcterms:modified xsi:type="dcterms:W3CDTF">2026-09-03T04:01:41Z</dcterms:modified>
  <cp:category/>
</cp:coreProperties>
</file>