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8_{17EBC82B-79E5-4A16-9691-89102284997B}" xr6:coauthVersionLast="47" xr6:coauthVersionMax="47" xr10:uidLastSave="{00000000-0000-0000-0000-000000000000}"/>
  <bookViews>
    <workbookView xWindow="-110" yWindow="-110" windowWidth="19420" windowHeight="11500" xr2:uid="{00000000-000D-0000-FFFF-FFFF00000000}"/>
  </bookViews>
  <sheets>
    <sheet name="Scada_TTLL" sheetId="1" r:id="rId1"/>
  </sheets>
  <definedNames>
    <definedName name="_xlnm._FilterDatabase" localSheetId="0" hidden="1">Scada_TTLL!$A$7:$L$149</definedName>
    <definedName name="_xlnm.Print_Area" localSheetId="0">Scada_TTLL!$A$1:$L$153</definedName>
    <definedName name="_xlnm.Print_Titles" localSheetId="0">Scada_TTLL!$6:$7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1" i="1" l="1"/>
  <c r="K152" i="1" l="1"/>
</calcChain>
</file>

<file path=xl/sharedStrings.xml><?xml version="1.0" encoding="utf-8"?>
<sst xmlns="http://schemas.openxmlformats.org/spreadsheetml/2006/main" count="437" uniqueCount="219">
  <si>
    <t/>
  </si>
  <si>
    <t>Ghi chú</t>
  </si>
  <si>
    <t>Mã hiệu</t>
  </si>
  <si>
    <t>Nguồn sản xuất</t>
  </si>
  <si>
    <t>Đơn giá</t>
  </si>
  <si>
    <t>Stt</t>
  </si>
  <si>
    <t>Mô tả công việc mời thầu</t>
  </si>
  <si>
    <t xml:space="preserve">Đơn vị tính </t>
  </si>
  <si>
    <t>Khối lượng</t>
  </si>
  <si>
    <t>Thành tiền
trước thuế VAT</t>
  </si>
  <si>
    <t>Thuế VAT</t>
  </si>
  <si>
    <t>%</t>
  </si>
  <si>
    <t>Tiền thuế</t>
  </si>
  <si>
    <t>Tổng tiền</t>
  </si>
  <si>
    <t>PHỤ LỤC 01: BẢNG CHI TIẾT GIÁ TRỊ HỢP ĐỒNG</t>
  </si>
  <si>
    <t>Tổng giá trị trước thuế (VNĐ)</t>
  </si>
  <si>
    <t>Tổng giá trị sau thuế (VNĐ)</t>
  </si>
  <si>
    <t>bộ</t>
  </si>
  <si>
    <t>lô</t>
  </si>
  <si>
    <t>tủ</t>
  </si>
  <si>
    <t>cái</t>
  </si>
  <si>
    <t>Công trình:  Trạm biến áp 110kV Đắk R' Lấp</t>
  </si>
  <si>
    <t>Hạng mục: Xây dựng và lắp đặt VTTB (bao gồm PCCC)</t>
  </si>
  <si>
    <t>(Đính kèm theo Hợp đồng số: 130426/HĐXL/THIFACO-TSM ngày 13/04/2026)</t>
  </si>
  <si>
    <t>I</t>
  </si>
  <si>
    <t xml:space="preserve">THIẾT BỊ CHO CHỮA CHÁY DO NHÀ THẦU CUNG CẤP, VẬN CHUYỂN VÀ LẮP ĐẶT TẠI CÔNG TRƯỜNG </t>
  </si>
  <si>
    <t>1</t>
  </si>
  <si>
    <t>Máy bơm diesel , Q=54m3/h; H=30mH2O</t>
  </si>
  <si>
    <t>2</t>
  </si>
  <si>
    <t>Máy bơm điện , Q=54m3/h; H=30mH2O (đơn giá bao gồm công lắp đặt)</t>
  </si>
  <si>
    <t>3</t>
  </si>
  <si>
    <t>Tủ điều khiển hệ thống bơm điện</t>
  </si>
  <si>
    <t>4</t>
  </si>
  <si>
    <t>Tủ điều khiển hệ thống bơm diesel</t>
  </si>
  <si>
    <t>II</t>
  </si>
  <si>
    <t>HỆ THỐNG PHÒNG CHÁY CHỮA CHÁY (các vật tư phòng cháy chữa cháy và phụ kiện được tráng kẽm 2 mặt và được sơn dầu màu đỏ) DO NHÀ THẦU CUNG CẤP, VẬN CHUYỂN VÀ LẮP ĐẶT TẠI CÔNG TRÌNH (Nhà thầu tự kiểm tra tính toán, dự trù thực tế để cung cấp đầy đủ VTTB đảm bảo hoàn thiện công trình)</t>
  </si>
  <si>
    <t>Thùng đựng dụng cụ PCCC kích thước 900x400x900</t>
  </si>
  <si>
    <t>Thùng</t>
  </si>
  <si>
    <t>Bình CO2 loại 05 kg loại xách tay</t>
  </si>
  <si>
    <t>Bình</t>
  </si>
  <si>
    <t>Bình CO2 loại 24 kg loại xe đẩy</t>
  </si>
  <si>
    <t>Bình Asul T35 có xe đẩy</t>
  </si>
  <si>
    <t>5</t>
  </si>
  <si>
    <t>Tiêu lệnh và nội quy phòng cháy chữa cháy</t>
  </si>
  <si>
    <t>Bảng</t>
  </si>
  <si>
    <t>6</t>
  </si>
  <si>
    <t>Sơ đồ hệ thống cứu hoả và PCCC</t>
  </si>
  <si>
    <t>7</t>
  </si>
  <si>
    <t>Bảng đèn chỉ dẫn thoát nạn (EXIT)</t>
  </si>
  <si>
    <t>Bộ</t>
  </si>
  <si>
    <t>8</t>
  </si>
  <si>
    <t>Dây tín hiệu 2x1,5mm² (chống nhiễu, chống cháy)</t>
  </si>
  <si>
    <t>m</t>
  </si>
  <si>
    <t>9</t>
  </si>
  <si>
    <t>Ống nhựa luồn dây D32</t>
  </si>
  <si>
    <t>10</t>
  </si>
  <si>
    <t>Nút bấm báo động hỏa hoạn, đồng bộ với hệ thống nút bấm báo động</t>
  </si>
  <si>
    <t>11</t>
  </si>
  <si>
    <t xml:space="preserve">Còi báo động </t>
  </si>
  <si>
    <t>12</t>
  </si>
  <si>
    <t xml:space="preserve">Đèn chớp hỏa hoạn </t>
  </si>
  <si>
    <t>13</t>
  </si>
  <si>
    <t xml:space="preserve">Đầu dò hỗn hợp (khói và nhiệt) lắp trong nhà </t>
  </si>
  <si>
    <t>14</t>
  </si>
  <si>
    <t>Đầu dò nhiệt ngoài trời (loại chống nổ), kèm phụ kiện lắp đặt</t>
  </si>
  <si>
    <t>15</t>
  </si>
  <si>
    <t>Cáp đồng bọc PVC 2x1,5mm2</t>
  </si>
  <si>
    <t>16</t>
  </si>
  <si>
    <t>Ổng thép D21 luồn dây</t>
  </si>
  <si>
    <t>17</t>
  </si>
  <si>
    <t>Co nối ống thép D21</t>
  </si>
  <si>
    <t>Cái</t>
  </si>
  <si>
    <t>18</t>
  </si>
  <si>
    <t>Măng xông nối ống D21</t>
  </si>
  <si>
    <t>19</t>
  </si>
  <si>
    <t>Thép góc L70x70x5 - 14m</t>
  </si>
  <si>
    <t>kg</t>
  </si>
  <si>
    <t>20</t>
  </si>
  <si>
    <t>Thép góc L50x50x5 - 10m</t>
  </si>
  <si>
    <t>21</t>
  </si>
  <si>
    <t xml:space="preserve">Thép U120x52x4,8 dài 4m </t>
  </si>
  <si>
    <t>22</t>
  </si>
  <si>
    <t>Bulong giãn chân M12x150</t>
  </si>
  <si>
    <t>23</t>
  </si>
  <si>
    <t>Di dời tủ báo cháy tự động trung tâm, dạng địa chỉ</t>
  </si>
  <si>
    <t>Hệ thống</t>
  </si>
  <si>
    <t>24</t>
  </si>
  <si>
    <t>Hộp nối cáp</t>
  </si>
  <si>
    <t>hộp</t>
  </si>
  <si>
    <t>25</t>
  </si>
  <si>
    <t>Cáp đồng bọc PVC, có vỏ bọc đồng chống nhiễu 0,6/1kV - Cu/Fr-PVC/S/Fr-PVC – 2Cx2,5mm² (nhân công)</t>
  </si>
  <si>
    <t>26</t>
  </si>
  <si>
    <t>Cáp đồng bọc PVC, có vỏ bọc đồng chống nhiễu 0,6/1kV - Cu/Fr-PVC/S/Fr-PVC – 2Cx1,5mm² (nhân công)</t>
  </si>
  <si>
    <t>27</t>
  </si>
  <si>
    <t>Ống thép lò xo tráng kẽm luồn dây báo cháy D21</t>
  </si>
  <si>
    <t>III</t>
  </si>
  <si>
    <t>HỆ THỐNG CHỐNG CHÁY LAN TRUYỀN</t>
  </si>
  <si>
    <t>Foam chống cháy 750 ml</t>
  </si>
  <si>
    <t xml:space="preserve">Ống nhựa HPDE (uPVC)- 90mm2  </t>
  </si>
  <si>
    <t>Co lơi cho ống HPDE D90 mm2</t>
  </si>
  <si>
    <t>Keo dán ống nhựa (đã tính tiền trong VLP lắp ống)</t>
  </si>
  <si>
    <t>chai</t>
  </si>
  <si>
    <t>Dây cảm biến nhiệt dộ</t>
  </si>
  <si>
    <t xml:space="preserve">Đào đất </t>
  </si>
  <si>
    <t>Beton lót móng rộng &lt;=250cm đá 4x6, B7.5</t>
  </si>
  <si>
    <t>m3</t>
  </si>
  <si>
    <t>Bê tông móng , đá 1x2, B15</t>
  </si>
  <si>
    <t>Bu long neo M12x400</t>
  </si>
  <si>
    <t>Giá ĐỠ thép mạ kẽm PL60x4</t>
  </si>
  <si>
    <t>Lắp đặt bulon neo+giá ĐỠ</t>
  </si>
  <si>
    <t>Láng vữa mặt cổ móng M100</t>
  </si>
  <si>
    <t>m2</t>
  </si>
  <si>
    <t>Đắp đất công trình</t>
  </si>
  <si>
    <t>IV</t>
  </si>
  <si>
    <t>MÓNG M2(3 CK)</t>
  </si>
  <si>
    <t>Đào đất</t>
  </si>
  <si>
    <t>Bê tông lót móng đá 4x6, B7.5</t>
  </si>
  <si>
    <t>SXLD cốt thép móng đường kính &lt;=10mm</t>
  </si>
  <si>
    <t>SXLD cốt thép móng đường kính &lt;=18mm</t>
  </si>
  <si>
    <t>Láng vữa mặt cổ móng,M100</t>
  </si>
  <si>
    <t>Ống thép D=100mm</t>
  </si>
  <si>
    <t>Lắp đặt bích thép đường kính 100mm</t>
  </si>
  <si>
    <t>cặp bích</t>
  </si>
  <si>
    <t>CCLĐ Bulon M16x40</t>
  </si>
  <si>
    <t>V</t>
  </si>
  <si>
    <t>MÓNG M3(2CK)</t>
  </si>
  <si>
    <t>Láng vữa mặt cổ móng M100 dày 2,5cm</t>
  </si>
  <si>
    <t>CCLĐ Bulong lắp tủ M12x50</t>
  </si>
  <si>
    <t xml:space="preserve">Đắp đất công trình </t>
  </si>
  <si>
    <t>VI</t>
  </si>
  <si>
    <t>PHÁ DỠ VÀ TÁI LẬP NỀN ĐƯỜNG ĐỂ CHÔN ỐNG PCCC</t>
  </si>
  <si>
    <t>Phá dỡ đường bê tông đường trong trạm</t>
  </si>
  <si>
    <t>Phá lớp đá nền đường</t>
  </si>
  <si>
    <t>Làm móng đường cấp phối đá dăm 0-4</t>
  </si>
  <si>
    <t>Rải bao xi măng</t>
  </si>
  <si>
    <t>Bê tông đường đá 1x2, B25</t>
  </si>
  <si>
    <t>VII</t>
  </si>
  <si>
    <t>HỆ THỐNG PCCC BẰNG NƯỚC</t>
  </si>
  <si>
    <t>CCLĐ đồng hồ đo áp lực</t>
  </si>
  <si>
    <t>CCLĐ Van cổng D100</t>
  </si>
  <si>
    <t>CCLĐ Van cổng D80</t>
  </si>
  <si>
    <t>CCLĐ Van một chiều D100</t>
  </si>
  <si>
    <t>CCLĐ van an toàn đk 80</t>
  </si>
  <si>
    <t>CCLĐ lọc chữ Y</t>
  </si>
  <si>
    <t>Ống cao su mềm 100mm</t>
  </si>
  <si>
    <t>CCLĐ ống thép , đk 100</t>
  </si>
  <si>
    <t>CCLĐ ống thép , đk 80</t>
  </si>
  <si>
    <t>CCLĐ Co thép 90, đk 100 mm</t>
  </si>
  <si>
    <t>CCLĐ Co thép 90, đk 80 mm</t>
  </si>
  <si>
    <t>T thép đều của ống D100mm</t>
  </si>
  <si>
    <t>T thép đều của ống D80mm</t>
  </si>
  <si>
    <t>Lắp đặt giảm đồng trục 100mmx80mm</t>
  </si>
  <si>
    <t>Lắp mặt bích thép, đk 100</t>
  </si>
  <si>
    <t>Lắp mặt bích thép, đk 80</t>
  </si>
  <si>
    <t>Thép gia công mạ kẽm giá đỡ hệ thống bơm</t>
  </si>
  <si>
    <t>Joint cao su</t>
  </si>
  <si>
    <t>Bu lông neo cho hệ thống bơm</t>
  </si>
  <si>
    <t>Bu lông cho van lọc Y</t>
  </si>
  <si>
    <t>Bu lông giãn nở</t>
  </si>
  <si>
    <t>Sơn ống, giá đỡ hệ thống bơm</t>
  </si>
  <si>
    <t>Ống PVC luồn dây D50</t>
  </si>
  <si>
    <t>100m</t>
  </si>
  <si>
    <t>Dây cáp tín hiệu đồng bọc PVC 4x10mm2</t>
  </si>
  <si>
    <t>Lắp cáp đồng bọc (3x25+1x16)mm2</t>
  </si>
  <si>
    <t>VIII</t>
  </si>
  <si>
    <t>HỆ THỐNG ĐƯỜNG ỐNG VÀ HỌNG CHỮA CHÁY</t>
  </si>
  <si>
    <t>Ống thép đen  D100</t>
  </si>
  <si>
    <t>LĐ Co thép 90, đk 100 mm</t>
  </si>
  <si>
    <t>Mặt bích DN=100mm</t>
  </si>
  <si>
    <t>Van cổng D100</t>
  </si>
  <si>
    <t>Tủ trụ cứu hoả ngoài trời (gồm cuôn vòi 65mm-20m kèm tủ đựng, lăng phun A)</t>
  </si>
  <si>
    <t>Trụ cứu hỏa ngoài trời</t>
  </si>
  <si>
    <t>Sơn hoàn thiện hệ thống ống và khớp nối</t>
  </si>
  <si>
    <t>Dây đồng trần C120mm2</t>
  </si>
  <si>
    <t>Đầu cốt đồng loại ép (cỡ dây 120mm2)</t>
  </si>
  <si>
    <t>10cái</t>
  </si>
  <si>
    <t>Mối hàn hóa nhiệt kiểu T (Dây đồng 120mm2 /dây đồng 120mm2)</t>
  </si>
  <si>
    <t>Lắp đặt toàn bộ thiết bị và thử nghiệm hệ thống PCCC</t>
  </si>
  <si>
    <t>t.bộ</t>
  </si>
  <si>
    <t>IX</t>
  </si>
  <si>
    <t>MÁI CHE THIẾT BỊ PCCC</t>
  </si>
  <si>
    <t>Bê tông lót đá 4x6, M100</t>
  </si>
  <si>
    <t>Bê tông đá 1x2, B15</t>
  </si>
  <si>
    <t>SXLD xà gồ thép</t>
  </si>
  <si>
    <t>CCLĐ ống thép gia cường D38x1.4mm</t>
  </si>
  <si>
    <t>Sơn sắt thép</t>
  </si>
  <si>
    <t>SXLD mái tôn màu 4,5 dem</t>
  </si>
  <si>
    <t>CCLĐ Bu long giãn chân M12x150</t>
  </si>
  <si>
    <t>X</t>
  </si>
  <si>
    <t>HỆ THỐNG SCADA DO NHÀ THẦU CUNG CẤP, VẬN CHUYỂN VÀ LẮP ĐẶT HOÀN THIỆN TẠI CÔNG TRÌNH</t>
  </si>
  <si>
    <t>Thiết bị Ethernet Switch</t>
  </si>
  <si>
    <t>Relay trung gian 110DVC</t>
  </si>
  <si>
    <t>T/bộ</t>
  </si>
  <si>
    <t>Hàng kẹp điều khiển</t>
  </si>
  <si>
    <t>Hàng kẹp tín hiệu</t>
  </si>
  <si>
    <t>Cáp tín hiệu có bọc giáp chống nhiễu</t>
  </si>
  <si>
    <t>Cáp quang multi-mode (dây nhảy quang 20m)</t>
  </si>
  <si>
    <t>sợi</t>
  </si>
  <si>
    <t>Cáp điện đơn mềm 1x2,5mm2</t>
  </si>
  <si>
    <t>Cáp nguồn 2 x 2,5mm²</t>
  </si>
  <si>
    <t xml:space="preserve">Vật liệu phụ (cổ cáp, gen, coss, băng keo điện, dây gút, ốc vít, nhãn cáp…) </t>
  </si>
  <si>
    <t>T.bộ</t>
  </si>
  <si>
    <t>XI</t>
  </si>
  <si>
    <t>HỆ THỐNG APPMETER DO NHÀ THẦU CUNG CẤP, VẬN CHUYỂN VÀ LẮP ĐẶT HOÀN THIỆN TẠI CÔNG TRÌNH</t>
  </si>
  <si>
    <t>Máy tính công nghiệp (bao gồm cả màn hình)</t>
  </si>
  <si>
    <t>Cáp mạng SFTPCAT6</t>
  </si>
  <si>
    <t>Connector RS232</t>
  </si>
  <si>
    <t>Vật liệu phụ (cổ cáp, gen, coss, băng keo điện, dây rút, ốc vít, nhãn cáp …)</t>
  </si>
  <si>
    <t>XII</t>
  </si>
  <si>
    <t>HỆ THỐNG CAMERA DO NHÀ THẦU CUNG CẤP, VẬN CHUYỂN VÀ LẮP ĐẶT HOÀN THIỆN TẠI CÔNG TRÌNH</t>
  </si>
  <si>
    <t>Trung tâm kiểm soát ra vào</t>
  </si>
  <si>
    <t>Camera quan sát, loại cố định, tự động điều chỉnh tiêu cự, có khả năng quan sát góc rộng, lắp đặt trong nhà, chịu được điều kiện khí hậu nhiệt đới, hoạt động được cả ngày lẫn đêm, kèm theo: ống kính zoom, hộp bảo vệ, chân đế, các vật liệu khác,…</t>
  </si>
  <si>
    <t>Dây tín hiệu</t>
  </si>
  <si>
    <t>Dây cấp nguồn</t>
  </si>
  <si>
    <t>Ống PVC D19 luồn dây (trong nhà)</t>
  </si>
  <si>
    <t>Ống ruột gà thép D19 luồn dây (ngoài trời)</t>
  </si>
  <si>
    <t>Trọn bộ ốc vít, co, ống nối, băng keo để lắp đặt</t>
  </si>
  <si>
    <t>Trọn bộ</t>
  </si>
  <si>
    <t>(Bằng chữ: Một tỷ, ba trăm bảy mươi bốn triệu, bảy trăm chín mươi sáu nghìn, ba trăm mười bốn đồng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</si>
</sst>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00\ _₫_-;\-* #,##0.00\ _₫_-;_-* &quot;-&quot;??\ _₫_-;_-@_-"/>
    <numFmt numFmtId="166" formatCode="_-* #,##0\ _₫_-;\-* #,##0\ _₫_-;_-* &quot;-&quot;??\ _₫_-;_-@_-"/>
    <numFmt numFmtId="167" formatCode="_(* #,##0_);_(* \(#,##0\);_(* &quot;-&quot;??_);_(@_)"/>
    <numFmt numFmtId="168" formatCode="##,###.0"/>
    <numFmt numFmtId="169" formatCode="#,##0.0"/>
  </numFmts>
  <fonts count="21" x14ac:knownFonts="1">
    <font>
      <sz val="11"/>
      <color theme="1"/>
      <name val="Arial"/>
      <family val="2"/>
      <scheme val="minor"/>
    </font>
    <font>
      <b/>
      <sz val="14"/>
      <color rgb="FF000000"/>
      <name val="Times New Roman"/>
      <family val="1"/>
    </font>
    <font>
      <b/>
      <sz val="12"/>
      <color rgb="FF000000"/>
      <name val="Times New Roman"/>
      <family val="1"/>
    </font>
    <font>
      <sz val="12"/>
      <color rgb="FF000000"/>
      <name val="Times New Roman"/>
      <family val="1"/>
    </font>
    <font>
      <sz val="11"/>
      <color theme="1"/>
      <name val="Arial"/>
      <family val="2"/>
      <scheme val="minor"/>
    </font>
    <font>
      <b/>
      <sz val="12"/>
      <color rgb="FF000000"/>
      <name val="Times New Roman"/>
      <family val="1"/>
    </font>
    <font>
      <sz val="12"/>
      <name val="Times New Roman"/>
      <family val="1"/>
    </font>
    <font>
      <sz val="11"/>
      <color theme="1"/>
      <name val="Arial"/>
      <family val="2"/>
      <charset val="163"/>
      <scheme val="minor"/>
    </font>
    <font>
      <i/>
      <sz val="12"/>
      <color rgb="FF000000"/>
      <name val="Times New Roman"/>
      <family val="1"/>
    </font>
    <font>
      <sz val="11"/>
      <name val="Arial"/>
      <family val="2"/>
      <scheme val="minor"/>
    </font>
    <font>
      <b/>
      <sz val="12"/>
      <name val="Times New Roman"/>
      <family val="1"/>
    </font>
    <font>
      <b/>
      <sz val="11"/>
      <color theme="1"/>
      <name val="Arial"/>
      <family val="2"/>
      <scheme val="minor"/>
    </font>
    <font>
      <b/>
      <sz val="14"/>
      <color theme="1"/>
      <name val="Times New Roman"/>
      <family val="1"/>
    </font>
    <font>
      <b/>
      <i/>
      <sz val="14"/>
      <color rgb="FF000000"/>
      <name val="Times New Roman"/>
      <family val="1"/>
    </font>
    <font>
      <b/>
      <sz val="16"/>
      <color rgb="FF000000"/>
      <name val="Times New Roman"/>
      <family val="1"/>
    </font>
    <font>
      <sz val="10"/>
      <name val="Times New Roman"/>
      <family val="1"/>
    </font>
    <font>
      <b/>
      <i/>
      <sz val="13"/>
      <name val="Times New Roman"/>
      <family val="1"/>
    </font>
    <font>
      <sz val="12"/>
      <color theme="1"/>
      <name val="Times New Roman"/>
      <family val="1"/>
    </font>
    <font>
      <sz val="8"/>
      <name val="Arial"/>
      <family val="2"/>
      <scheme val="minor"/>
    </font>
    <font>
      <b/>
      <sz val="12"/>
      <color theme="1"/>
      <name val="Times New Roman"/>
      <family val="1"/>
    </font>
    <font>
      <b/>
      <i/>
      <sz val="12"/>
      <color rgb="FF000000"/>
      <name val="Times New Roman"/>
      <family val="1"/>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s>
  <cellStyleXfs count="5">
    <xf numFmtId="0" fontId="0" fillId="0" borderId="0"/>
    <xf numFmtId="165" fontId="7" fillId="0" borderId="0" applyFont="0" applyFill="0" applyBorder="0" applyAlignment="0" applyProtection="0"/>
    <xf numFmtId="0" fontId="9" fillId="0" borderId="0"/>
    <xf numFmtId="164" fontId="4" fillId="0" borderId="0" applyFont="0" applyFill="0" applyBorder="0" applyAlignment="0" applyProtection="0"/>
    <xf numFmtId="9" fontId="4" fillId="0" borderId="0" applyFont="0" applyFill="0" applyBorder="0" applyAlignment="0" applyProtection="0"/>
  </cellStyleXfs>
  <cellXfs count="67">
    <xf numFmtId="0" fontId="0" fillId="0" borderId="0" xfId="0"/>
    <xf numFmtId="166" fontId="6" fillId="0" borderId="2" xfId="1" applyNumberFormat="1" applyFont="1" applyFill="1" applyBorder="1" applyAlignment="1">
      <alignment horizontal="center" vertical="center"/>
    </xf>
    <xf numFmtId="0" fontId="0" fillId="0" borderId="0" xfId="0" applyAlignment="1">
      <alignment vertical="center"/>
    </xf>
    <xf numFmtId="0" fontId="1" fillId="0" borderId="0" xfId="0" applyFont="1" applyAlignment="1">
      <alignment vertical="center" wrapText="1"/>
    </xf>
    <xf numFmtId="0" fontId="12" fillId="0" borderId="0" xfId="0" applyFont="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19" fillId="0" borderId="2" xfId="0" applyFont="1" applyBorder="1" applyAlignment="1">
      <alignment horizontal="center" vertical="center" wrapText="1"/>
    </xf>
    <xf numFmtId="167" fontId="10" fillId="0" borderId="2" xfId="3" applyNumberFormat="1" applyFont="1" applyFill="1" applyBorder="1" applyAlignment="1">
      <alignment horizontal="right" vertical="center"/>
    </xf>
    <xf numFmtId="167" fontId="10" fillId="0" borderId="2" xfId="3" applyNumberFormat="1" applyFont="1" applyFill="1" applyBorder="1" applyAlignment="1">
      <alignment horizontal="left" vertical="center"/>
    </xf>
    <xf numFmtId="9" fontId="10" fillId="0" borderId="2" xfId="4" applyFont="1" applyFill="1" applyBorder="1" applyAlignment="1">
      <alignment horizontal="center" vertical="center"/>
    </xf>
    <xf numFmtId="0" fontId="20" fillId="0" borderId="2" xfId="0" applyFont="1" applyBorder="1" applyAlignment="1">
      <alignment horizontal="center" vertical="center" wrapText="1"/>
    </xf>
    <xf numFmtId="0" fontId="11" fillId="0" borderId="0" xfId="0" applyFont="1" applyAlignment="1">
      <alignment vertical="center"/>
    </xf>
    <xf numFmtId="166" fontId="6" fillId="0" borderId="3" xfId="1" applyNumberFormat="1" applyFont="1" applyFill="1" applyBorder="1" applyAlignment="1">
      <alignment horizontal="center" vertical="center"/>
    </xf>
    <xf numFmtId="167" fontId="6" fillId="0" borderId="2" xfId="3" applyNumberFormat="1" applyFont="1" applyFill="1" applyBorder="1" applyAlignment="1" applyProtection="1">
      <alignment vertical="center"/>
      <protection locked="0"/>
    </xf>
    <xf numFmtId="167" fontId="6" fillId="0" borderId="3" xfId="3" applyNumberFormat="1" applyFont="1" applyFill="1" applyBorder="1" applyAlignment="1">
      <alignment horizontal="left" vertical="center"/>
    </xf>
    <xf numFmtId="9" fontId="6" fillId="0" borderId="2" xfId="4" applyFont="1" applyFill="1" applyBorder="1" applyAlignment="1">
      <alignment horizontal="center" vertical="center"/>
    </xf>
    <xf numFmtId="167" fontId="6" fillId="0" borderId="2" xfId="3" applyNumberFormat="1" applyFont="1" applyFill="1" applyBorder="1" applyAlignment="1">
      <alignment horizontal="right" vertical="center"/>
    </xf>
    <xf numFmtId="0" fontId="8" fillId="0" borderId="2" xfId="0" applyFont="1" applyBorder="1" applyAlignment="1">
      <alignment horizontal="center" vertical="center" wrapText="1"/>
    </xf>
    <xf numFmtId="0" fontId="8" fillId="0" borderId="2" xfId="0" applyFont="1" applyBorder="1" applyAlignment="1">
      <alignment vertical="center" wrapText="1"/>
    </xf>
    <xf numFmtId="0" fontId="3" fillId="0" borderId="2" xfId="0" applyFont="1" applyBorder="1" applyAlignment="1">
      <alignment horizontal="center" vertical="center" wrapText="1"/>
    </xf>
    <xf numFmtId="0" fontId="0" fillId="0" borderId="2" xfId="0" applyBorder="1" applyAlignment="1">
      <alignment vertical="center"/>
    </xf>
    <xf numFmtId="0" fontId="17" fillId="0" borderId="2" xfId="0" applyFont="1" applyBorder="1" applyAlignment="1">
      <alignment horizontal="center" vertical="center" wrapText="1"/>
    </xf>
    <xf numFmtId="0" fontId="0" fillId="0" borderId="2" xfId="0" applyBorder="1" applyAlignment="1">
      <alignment horizontal="center" vertical="center"/>
    </xf>
    <xf numFmtId="0" fontId="3" fillId="0" borderId="2" xfId="0" applyFont="1" applyBorder="1" applyAlignment="1">
      <alignment horizontal="center" vertical="center"/>
    </xf>
    <xf numFmtId="0" fontId="20" fillId="0" borderId="2" xfId="0" applyFont="1" applyBorder="1" applyAlignment="1">
      <alignment vertical="center" wrapText="1"/>
    </xf>
    <xf numFmtId="0" fontId="9" fillId="0" borderId="2" xfId="0" applyFont="1" applyBorder="1" applyAlignment="1">
      <alignment vertical="center"/>
    </xf>
    <xf numFmtId="3" fontId="10" fillId="0" borderId="1" xfId="3" applyNumberFormat="1" applyFont="1" applyFill="1" applyBorder="1" applyAlignment="1">
      <alignment horizontal="right" vertical="center" wrapText="1"/>
    </xf>
    <xf numFmtId="3" fontId="10" fillId="0" borderId="1" xfId="0" applyNumberFormat="1" applyFont="1" applyBorder="1" applyAlignment="1">
      <alignment horizontal="center" vertical="center" wrapText="1"/>
    </xf>
    <xf numFmtId="4" fontId="15" fillId="0" borderId="1" xfId="0" applyNumberFormat="1" applyFont="1" applyBorder="1" applyAlignment="1">
      <alignment horizontal="center" vertical="center" wrapText="1"/>
    </xf>
    <xf numFmtId="0" fontId="0" fillId="0" borderId="1" xfId="0" applyBorder="1" applyAlignment="1">
      <alignment vertical="center"/>
    </xf>
    <xf numFmtId="3" fontId="10" fillId="0" borderId="1" xfId="3" applyNumberFormat="1" applyFont="1" applyFill="1" applyBorder="1" applyAlignment="1">
      <alignment vertical="center" wrapText="1"/>
    </xf>
    <xf numFmtId="3" fontId="15" fillId="0" borderId="1" xfId="0" applyNumberFormat="1" applyFont="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167" fontId="11" fillId="0" borderId="0" xfId="3" applyNumberFormat="1" applyFont="1" applyFill="1" applyAlignment="1">
      <alignment horizontal="center" vertical="center"/>
    </xf>
    <xf numFmtId="10" fontId="11" fillId="0" borderId="0" xfId="4" applyNumberFormat="1" applyFont="1" applyFill="1" applyAlignment="1">
      <alignment vertical="center"/>
    </xf>
    <xf numFmtId="167" fontId="11" fillId="0" borderId="0" xfId="3" applyNumberFormat="1" applyFont="1" applyFill="1" applyAlignment="1">
      <alignment vertical="center"/>
    </xf>
    <xf numFmtId="167" fontId="0" fillId="0" borderId="0" xfId="3" applyNumberFormat="1" applyFont="1" applyFill="1" applyAlignment="1">
      <alignment vertical="center"/>
    </xf>
    <xf numFmtId="4" fontId="15" fillId="0" borderId="0" xfId="0" applyNumberFormat="1" applyFont="1" applyAlignment="1">
      <alignment vertical="center" wrapText="1"/>
    </xf>
    <xf numFmtId="3" fontId="15" fillId="0" borderId="0" xfId="0" applyNumberFormat="1" applyFont="1" applyAlignment="1">
      <alignment vertical="center" wrapText="1"/>
    </xf>
    <xf numFmtId="10" fontId="0" fillId="0" borderId="0" xfId="4" applyNumberFormat="1" applyFont="1" applyFill="1" applyAlignment="1">
      <alignment vertical="center"/>
    </xf>
    <xf numFmtId="167" fontId="0" fillId="0" borderId="0" xfId="3" applyNumberFormat="1" applyFont="1" applyFill="1" applyAlignment="1">
      <alignment horizontal="center" vertical="center"/>
    </xf>
    <xf numFmtId="167" fontId="0" fillId="0" borderId="0" xfId="0" applyNumberFormat="1" applyAlignment="1">
      <alignment vertical="center"/>
    </xf>
    <xf numFmtId="167" fontId="0" fillId="0" borderId="0" xfId="0" applyNumberFormat="1" applyAlignment="1">
      <alignment horizontal="center" vertical="center"/>
    </xf>
    <xf numFmtId="3" fontId="0" fillId="0" borderId="0" xfId="0" applyNumberFormat="1" applyAlignment="1">
      <alignment vertical="center"/>
    </xf>
    <xf numFmtId="4" fontId="10" fillId="0" borderId="1" xfId="0" applyNumberFormat="1" applyFont="1" applyBorder="1" applyAlignment="1">
      <alignment horizontal="center" vertical="center" wrapText="1"/>
    </xf>
    <xf numFmtId="3" fontId="16"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4" fillId="0" borderId="0" xfId="0" applyFont="1" applyAlignment="1">
      <alignment horizontal="center" vertical="center" wrapText="1"/>
    </xf>
    <xf numFmtId="0" fontId="1" fillId="0" borderId="0" xfId="0" applyFont="1" applyAlignment="1">
      <alignment horizontal="center" vertical="center" wrapText="1"/>
    </xf>
    <xf numFmtId="0" fontId="13" fillId="0" borderId="0" xfId="0" applyFont="1" applyAlignment="1">
      <alignment horizontal="center" vertical="center" wrapText="1"/>
    </xf>
    <xf numFmtId="49" fontId="10" fillId="0" borderId="1" xfId="0" applyNumberFormat="1" applyFont="1" applyBorder="1" applyAlignment="1">
      <alignment horizontal="center" vertical="center"/>
    </xf>
    <xf numFmtId="49" fontId="10" fillId="0" borderId="1" xfId="0" applyNumberFormat="1" applyFont="1" applyBorder="1" applyAlignment="1">
      <alignment vertical="center" wrapText="1"/>
    </xf>
    <xf numFmtId="0" fontId="2" fillId="0" borderId="1" xfId="0" applyFont="1" applyBorder="1" applyAlignment="1">
      <alignment horizontal="center" vertical="center"/>
    </xf>
    <xf numFmtId="49" fontId="6" fillId="0" borderId="1" xfId="0" applyNumberFormat="1" applyFont="1" applyBorder="1" applyAlignment="1">
      <alignment horizontal="center" vertical="center"/>
    </xf>
    <xf numFmtId="49" fontId="6" fillId="0" borderId="1" xfId="0" applyNumberFormat="1" applyFont="1" applyBorder="1" applyAlignment="1">
      <alignment vertical="center" wrapText="1"/>
    </xf>
    <xf numFmtId="168" fontId="6" fillId="0" borderId="1" xfId="0" applyNumberFormat="1" applyFont="1" applyBorder="1" applyAlignment="1">
      <alignment horizontal="center" vertical="center"/>
    </xf>
    <xf numFmtId="0" fontId="3" fillId="0" borderId="1" xfId="0" applyFont="1" applyBorder="1" applyAlignment="1">
      <alignment horizontal="center" vertical="center"/>
    </xf>
    <xf numFmtId="169"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169" fontId="6" fillId="0" borderId="1" xfId="0" applyNumberFormat="1" applyFont="1" applyBorder="1" applyAlignment="1">
      <alignment horizontal="center" vertical="center"/>
    </xf>
    <xf numFmtId="0" fontId="6" fillId="0" borderId="1" xfId="0" applyFont="1" applyBorder="1" applyAlignment="1">
      <alignment horizontal="left" vertical="center" wrapText="1"/>
    </xf>
    <xf numFmtId="49" fontId="6" fillId="0" borderId="1" xfId="0" applyNumberFormat="1" applyFont="1" applyFill="1" applyBorder="1" applyAlignment="1">
      <alignment horizontal="center" vertical="center"/>
    </xf>
    <xf numFmtId="49" fontId="6" fillId="0" borderId="1" xfId="0" applyNumberFormat="1" applyFont="1" applyFill="1" applyBorder="1" applyAlignment="1">
      <alignment vertical="center" wrapText="1"/>
    </xf>
    <xf numFmtId="168" fontId="6" fillId="0" borderId="1" xfId="0" applyNumberFormat="1" applyFont="1" applyFill="1" applyBorder="1" applyAlignment="1">
      <alignment horizontal="center" vertical="center"/>
    </xf>
  </cellXfs>
  <cellStyles count="5">
    <cellStyle name="Comma" xfId="3" builtinId="3"/>
    <cellStyle name="Comma 2" xfId="1" xr:uid="{00000000-0005-0000-0000-000001000000}"/>
    <cellStyle name="Normal" xfId="0" builtinId="0"/>
    <cellStyle name="Normal 2" xfId="2" xr:uid="{00000000-0005-0000-0000-000003000000}"/>
    <cellStyle name="Percent" xfId="4" builtinId="5"/>
  </cellStyles>
  <dxfs count="2">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60"/>
  <sheetViews>
    <sheetView tabSelected="1" zoomScale="40" zoomScaleNormal="85" zoomScaleSheetLayoutView="85" workbookViewId="0">
      <selection activeCell="A154" sqref="A154"/>
    </sheetView>
  </sheetViews>
  <sheetFormatPr defaultColWidth="8.9140625" defaultRowHeight="14" x14ac:dyDescent="0.3"/>
  <cols>
    <col min="1" max="1" width="9.4140625" style="2" customWidth="1"/>
    <col min="2" max="2" width="60.33203125" style="33" customWidth="1"/>
    <col min="3" max="3" width="11.33203125" style="34" customWidth="1"/>
    <col min="4" max="4" width="12.4140625" style="34" customWidth="1"/>
    <col min="5" max="5" width="18.08203125" style="34" bestFit="1" customWidth="1"/>
    <col min="6" max="6" width="22.6640625" style="34" bestFit="1" customWidth="1"/>
    <col min="7" max="7" width="16.6640625" style="2" bestFit="1" customWidth="1"/>
    <col min="8" max="8" width="17.9140625" style="2" bestFit="1" customWidth="1"/>
    <col min="9" max="9" width="9.4140625" style="2" customWidth="1"/>
    <col min="10" max="10" width="16.4140625" style="2" bestFit="1" customWidth="1"/>
    <col min="11" max="11" width="18.08203125" style="2" customWidth="1"/>
    <col min="12" max="12" width="15.6640625" style="2" customWidth="1"/>
    <col min="13" max="16384" width="8.9140625" style="2"/>
  </cols>
  <sheetData>
    <row r="1" spans="1:12" ht="20" x14ac:dyDescent="0.3">
      <c r="A1" s="50" t="s">
        <v>14</v>
      </c>
      <c r="B1" s="50"/>
      <c r="C1" s="50"/>
      <c r="D1" s="50"/>
      <c r="E1" s="50"/>
      <c r="F1" s="50"/>
      <c r="G1" s="50"/>
      <c r="H1" s="50"/>
      <c r="I1" s="50"/>
      <c r="J1" s="50"/>
      <c r="K1" s="50"/>
      <c r="L1" s="50"/>
    </row>
    <row r="2" spans="1:12" ht="17.5" x14ac:dyDescent="0.3">
      <c r="A2" s="51" t="s">
        <v>21</v>
      </c>
      <c r="B2" s="51"/>
      <c r="C2" s="51"/>
      <c r="D2" s="51"/>
      <c r="E2" s="51"/>
      <c r="F2" s="51"/>
      <c r="G2" s="51"/>
      <c r="H2" s="51"/>
      <c r="I2" s="51"/>
      <c r="J2" s="51"/>
      <c r="K2" s="51"/>
      <c r="L2" s="51"/>
    </row>
    <row r="3" spans="1:12" ht="17.5" x14ac:dyDescent="0.3">
      <c r="A3" s="51" t="s">
        <v>22</v>
      </c>
      <c r="B3" s="51"/>
      <c r="C3" s="51"/>
      <c r="D3" s="51"/>
      <c r="E3" s="51"/>
      <c r="F3" s="51"/>
      <c r="G3" s="51"/>
      <c r="H3" s="51"/>
      <c r="I3" s="51"/>
      <c r="J3" s="51"/>
      <c r="K3" s="51"/>
      <c r="L3" s="51"/>
    </row>
    <row r="4" spans="1:12" ht="17.5" x14ac:dyDescent="0.3">
      <c r="A4" s="52" t="s">
        <v>23</v>
      </c>
      <c r="B4" s="52"/>
      <c r="C4" s="52"/>
      <c r="D4" s="52"/>
      <c r="E4" s="52"/>
      <c r="F4" s="52"/>
      <c r="G4" s="52"/>
      <c r="H4" s="52"/>
      <c r="I4" s="52"/>
      <c r="J4" s="52"/>
      <c r="K4" s="52"/>
      <c r="L4" s="52"/>
    </row>
    <row r="5" spans="1:12" ht="17.5" x14ac:dyDescent="0.3">
      <c r="A5" s="3"/>
      <c r="B5" s="3"/>
      <c r="C5" s="3"/>
      <c r="D5" s="3"/>
      <c r="E5" s="4"/>
      <c r="F5" s="4"/>
      <c r="G5" s="4"/>
      <c r="H5" s="4"/>
      <c r="I5" s="4"/>
      <c r="J5" s="4"/>
      <c r="K5" s="4"/>
    </row>
    <row r="6" spans="1:12" ht="15" x14ac:dyDescent="0.3">
      <c r="A6" s="48" t="s">
        <v>5</v>
      </c>
      <c r="B6" s="48" t="s">
        <v>6</v>
      </c>
      <c r="C6" s="48" t="s">
        <v>8</v>
      </c>
      <c r="D6" s="48" t="s">
        <v>7</v>
      </c>
      <c r="E6" s="48" t="s">
        <v>2</v>
      </c>
      <c r="F6" s="48" t="s">
        <v>3</v>
      </c>
      <c r="G6" s="48" t="s">
        <v>4</v>
      </c>
      <c r="H6" s="48" t="s">
        <v>9</v>
      </c>
      <c r="I6" s="48" t="s">
        <v>10</v>
      </c>
      <c r="J6" s="48"/>
      <c r="K6" s="48" t="s">
        <v>13</v>
      </c>
      <c r="L6" s="49" t="s">
        <v>1</v>
      </c>
    </row>
    <row r="7" spans="1:12" ht="15" x14ac:dyDescent="0.3">
      <c r="A7" s="48"/>
      <c r="B7" s="48"/>
      <c r="C7" s="48"/>
      <c r="D7" s="48"/>
      <c r="E7" s="48"/>
      <c r="F7" s="48"/>
      <c r="G7" s="48"/>
      <c r="H7" s="48"/>
      <c r="I7" s="5" t="s">
        <v>11</v>
      </c>
      <c r="J7" s="5" t="s">
        <v>12</v>
      </c>
      <c r="K7" s="48"/>
      <c r="L7" s="49"/>
    </row>
    <row r="8" spans="1:12" s="12" customFormat="1" ht="30" x14ac:dyDescent="0.3">
      <c r="A8" s="53" t="s">
        <v>24</v>
      </c>
      <c r="B8" s="54" t="s">
        <v>25</v>
      </c>
      <c r="C8" s="55" t="s">
        <v>0</v>
      </c>
      <c r="D8" s="55" t="s">
        <v>0</v>
      </c>
      <c r="E8" s="7"/>
      <c r="F8" s="7"/>
      <c r="G8" s="8"/>
      <c r="H8" s="9"/>
      <c r="I8" s="10"/>
      <c r="J8" s="8"/>
      <c r="K8" s="8"/>
      <c r="L8" s="11"/>
    </row>
    <row r="9" spans="1:12" ht="15.5" x14ac:dyDescent="0.3">
      <c r="A9" s="56" t="s">
        <v>26</v>
      </c>
      <c r="B9" s="57" t="s">
        <v>27</v>
      </c>
      <c r="C9" s="58">
        <v>1</v>
      </c>
      <c r="D9" s="56" t="s">
        <v>20</v>
      </c>
      <c r="E9" s="13"/>
      <c r="F9" s="13"/>
      <c r="G9" s="14">
        <v>76312962.962962955</v>
      </c>
      <c r="H9" s="15">
        <v>76312962.962962955</v>
      </c>
      <c r="I9" s="16">
        <v>0.08</v>
      </c>
      <c r="J9" s="17">
        <v>6105037</v>
      </c>
      <c r="K9" s="17">
        <v>82417999.962962955</v>
      </c>
      <c r="L9" s="18"/>
    </row>
    <row r="10" spans="1:12" ht="31" x14ac:dyDescent="0.3">
      <c r="A10" s="56" t="s">
        <v>28</v>
      </c>
      <c r="B10" s="57" t="s">
        <v>29</v>
      </c>
      <c r="C10" s="58">
        <v>1</v>
      </c>
      <c r="D10" s="56" t="s">
        <v>20</v>
      </c>
      <c r="E10" s="13"/>
      <c r="F10" s="13"/>
      <c r="G10" s="14">
        <v>41377777.777777769</v>
      </c>
      <c r="H10" s="15">
        <v>41377777.777777769</v>
      </c>
      <c r="I10" s="16">
        <v>0.08</v>
      </c>
      <c r="J10" s="17">
        <v>3310222</v>
      </c>
      <c r="K10" s="17">
        <v>44687999.777777769</v>
      </c>
      <c r="L10" s="18"/>
    </row>
    <row r="11" spans="1:12" ht="15.5" x14ac:dyDescent="0.3">
      <c r="A11" s="56" t="s">
        <v>30</v>
      </c>
      <c r="B11" s="57" t="s">
        <v>31</v>
      </c>
      <c r="C11" s="58">
        <v>1</v>
      </c>
      <c r="D11" s="56" t="s">
        <v>19</v>
      </c>
      <c r="E11" s="13"/>
      <c r="F11" s="13"/>
      <c r="G11" s="14">
        <v>9210185.1851851847</v>
      </c>
      <c r="H11" s="15">
        <v>9210185.1851851847</v>
      </c>
      <c r="I11" s="16">
        <v>0.08</v>
      </c>
      <c r="J11" s="17">
        <v>736815</v>
      </c>
      <c r="K11" s="17">
        <v>9947000.1851851847</v>
      </c>
      <c r="L11" s="18"/>
    </row>
    <row r="12" spans="1:12" ht="15.5" x14ac:dyDescent="0.3">
      <c r="A12" s="56" t="s">
        <v>32</v>
      </c>
      <c r="B12" s="57" t="s">
        <v>33</v>
      </c>
      <c r="C12" s="58">
        <v>1</v>
      </c>
      <c r="D12" s="56" t="s">
        <v>19</v>
      </c>
      <c r="E12" s="13"/>
      <c r="F12" s="13"/>
      <c r="G12" s="14">
        <v>7486111.1111111101</v>
      </c>
      <c r="H12" s="15">
        <v>7486111.1111111101</v>
      </c>
      <c r="I12" s="16">
        <v>0.08</v>
      </c>
      <c r="J12" s="17">
        <v>598889</v>
      </c>
      <c r="K12" s="17">
        <v>8085000.1111111101</v>
      </c>
      <c r="L12" s="18"/>
    </row>
    <row r="13" spans="1:12" ht="75" x14ac:dyDescent="0.3">
      <c r="A13" s="53" t="s">
        <v>34</v>
      </c>
      <c r="B13" s="54" t="s">
        <v>35</v>
      </c>
      <c r="C13" s="59"/>
      <c r="D13" s="59"/>
      <c r="E13" s="13"/>
      <c r="F13" s="13"/>
      <c r="G13" s="14">
        <v>0</v>
      </c>
      <c r="H13" s="15"/>
      <c r="I13" s="16"/>
      <c r="J13" s="17"/>
      <c r="K13" s="17"/>
      <c r="L13" s="18"/>
    </row>
    <row r="14" spans="1:12" ht="15.5" x14ac:dyDescent="0.3">
      <c r="A14" s="64" t="s">
        <v>26</v>
      </c>
      <c r="B14" s="65" t="s">
        <v>36</v>
      </c>
      <c r="C14" s="66">
        <v>6</v>
      </c>
      <c r="D14" s="64" t="s">
        <v>37</v>
      </c>
      <c r="E14" s="13"/>
      <c r="F14" s="13"/>
      <c r="G14" s="14">
        <v>1776249.9999999998</v>
      </c>
      <c r="H14" s="15">
        <v>10657499.999999998</v>
      </c>
      <c r="I14" s="16">
        <v>0.08</v>
      </c>
      <c r="J14" s="17">
        <v>852600</v>
      </c>
      <c r="K14" s="17">
        <v>11510099.999999998</v>
      </c>
      <c r="L14" s="18"/>
    </row>
    <row r="15" spans="1:12" ht="15.5" x14ac:dyDescent="0.3">
      <c r="A15" s="64" t="s">
        <v>28</v>
      </c>
      <c r="B15" s="65" t="s">
        <v>38</v>
      </c>
      <c r="C15" s="66">
        <v>4</v>
      </c>
      <c r="D15" s="64" t="s">
        <v>39</v>
      </c>
      <c r="E15" s="13"/>
      <c r="F15" s="13"/>
      <c r="G15" s="14">
        <v>989437.03703703696</v>
      </c>
      <c r="H15" s="15">
        <v>3957748.1481481479</v>
      </c>
      <c r="I15" s="16">
        <v>0.08</v>
      </c>
      <c r="J15" s="17">
        <v>316620</v>
      </c>
      <c r="K15" s="17">
        <v>4274368.1481481474</v>
      </c>
      <c r="L15" s="18"/>
    </row>
    <row r="16" spans="1:12" ht="15.5" x14ac:dyDescent="0.3">
      <c r="A16" s="64" t="s">
        <v>30</v>
      </c>
      <c r="B16" s="65" t="s">
        <v>40</v>
      </c>
      <c r="C16" s="66">
        <v>7</v>
      </c>
      <c r="D16" s="64" t="s">
        <v>39</v>
      </c>
      <c r="E16" s="13"/>
      <c r="F16" s="13"/>
      <c r="G16" s="14">
        <v>7712962.9629629618</v>
      </c>
      <c r="H16" s="15">
        <v>53990740.740740731</v>
      </c>
      <c r="I16" s="16">
        <v>0.08</v>
      </c>
      <c r="J16" s="17">
        <v>4319259</v>
      </c>
      <c r="K16" s="17">
        <v>58309999.740740731</v>
      </c>
      <c r="L16" s="18"/>
    </row>
    <row r="17" spans="1:12" ht="15.5" x14ac:dyDescent="0.3">
      <c r="A17" s="64" t="s">
        <v>32</v>
      </c>
      <c r="B17" s="65" t="s">
        <v>41</v>
      </c>
      <c r="C17" s="66">
        <v>4</v>
      </c>
      <c r="D17" s="64" t="s">
        <v>39</v>
      </c>
      <c r="E17" s="13"/>
      <c r="F17" s="13"/>
      <c r="G17" s="14">
        <v>6840944.444444444</v>
      </c>
      <c r="H17" s="15">
        <v>27363777.777777776</v>
      </c>
      <c r="I17" s="16">
        <v>0.08</v>
      </c>
      <c r="J17" s="17">
        <v>2189102</v>
      </c>
      <c r="K17" s="17">
        <v>29552879.777777776</v>
      </c>
      <c r="L17" s="18"/>
    </row>
    <row r="18" spans="1:12" ht="15.5" x14ac:dyDescent="0.3">
      <c r="A18" s="64" t="s">
        <v>42</v>
      </c>
      <c r="B18" s="65" t="s">
        <v>43</v>
      </c>
      <c r="C18" s="66">
        <v>1</v>
      </c>
      <c r="D18" s="64" t="s">
        <v>44</v>
      </c>
      <c r="E18" s="13"/>
      <c r="F18" s="13"/>
      <c r="G18" s="14">
        <v>164467.59259259258</v>
      </c>
      <c r="H18" s="15">
        <v>164467.59259259258</v>
      </c>
      <c r="I18" s="16">
        <v>0.08</v>
      </c>
      <c r="J18" s="17">
        <v>13157</v>
      </c>
      <c r="K18" s="17">
        <v>177624.59259259258</v>
      </c>
      <c r="L18" s="18"/>
    </row>
    <row r="19" spans="1:12" ht="15.5" x14ac:dyDescent="0.3">
      <c r="A19" s="64" t="s">
        <v>45</v>
      </c>
      <c r="B19" s="65" t="s">
        <v>46</v>
      </c>
      <c r="C19" s="66">
        <v>1</v>
      </c>
      <c r="D19" s="64" t="s">
        <v>44</v>
      </c>
      <c r="E19" s="13"/>
      <c r="F19" s="13"/>
      <c r="G19" s="14">
        <v>328935.18518518517</v>
      </c>
      <c r="H19" s="15">
        <v>328935.18518518517</v>
      </c>
      <c r="I19" s="16">
        <v>0.08</v>
      </c>
      <c r="J19" s="17">
        <v>26315</v>
      </c>
      <c r="K19" s="17">
        <v>355250.18518518517</v>
      </c>
      <c r="L19" s="18"/>
    </row>
    <row r="20" spans="1:12" ht="15.5" x14ac:dyDescent="0.3">
      <c r="A20" s="64" t="s">
        <v>47</v>
      </c>
      <c r="B20" s="65" t="s">
        <v>48</v>
      </c>
      <c r="C20" s="66">
        <v>1</v>
      </c>
      <c r="D20" s="64" t="s">
        <v>49</v>
      </c>
      <c r="E20" s="13"/>
      <c r="F20" s="13"/>
      <c r="G20" s="14">
        <v>499981.48148148146</v>
      </c>
      <c r="H20" s="15">
        <v>499981.48148148146</v>
      </c>
      <c r="I20" s="16">
        <v>0.08</v>
      </c>
      <c r="J20" s="17">
        <v>39999</v>
      </c>
      <c r="K20" s="17">
        <v>539980.48148148146</v>
      </c>
      <c r="L20" s="18"/>
    </row>
    <row r="21" spans="1:12" ht="15.5" x14ac:dyDescent="0.3">
      <c r="A21" s="64" t="s">
        <v>50</v>
      </c>
      <c r="B21" s="65" t="s">
        <v>51</v>
      </c>
      <c r="C21" s="66">
        <v>120</v>
      </c>
      <c r="D21" s="64" t="s">
        <v>52</v>
      </c>
      <c r="E21" s="13"/>
      <c r="F21" s="13"/>
      <c r="G21" s="14">
        <v>59072.222222222219</v>
      </c>
      <c r="H21" s="15">
        <v>7088666.666666666</v>
      </c>
      <c r="I21" s="16">
        <v>0.08</v>
      </c>
      <c r="J21" s="17">
        <v>567093</v>
      </c>
      <c r="K21" s="17">
        <v>7655759.666666666</v>
      </c>
      <c r="L21" s="18"/>
    </row>
    <row r="22" spans="1:12" ht="15.5" x14ac:dyDescent="0.3">
      <c r="A22" s="64" t="s">
        <v>53</v>
      </c>
      <c r="B22" s="65" t="s">
        <v>54</v>
      </c>
      <c r="C22" s="66">
        <v>100</v>
      </c>
      <c r="D22" s="64" t="s">
        <v>52</v>
      </c>
      <c r="E22" s="13"/>
      <c r="F22" s="13"/>
      <c r="G22" s="14">
        <v>36840.740740740737</v>
      </c>
      <c r="H22" s="15">
        <v>3684074.0740740737</v>
      </c>
      <c r="I22" s="16">
        <v>0.08</v>
      </c>
      <c r="J22" s="17">
        <v>294726</v>
      </c>
      <c r="K22" s="17">
        <v>3978800.0740740737</v>
      </c>
      <c r="L22" s="18"/>
    </row>
    <row r="23" spans="1:12" ht="15.5" x14ac:dyDescent="0.3">
      <c r="A23" s="64" t="s">
        <v>55</v>
      </c>
      <c r="B23" s="65" t="s">
        <v>56</v>
      </c>
      <c r="C23" s="66">
        <v>1</v>
      </c>
      <c r="D23" s="64" t="s">
        <v>49</v>
      </c>
      <c r="E23" s="13"/>
      <c r="F23" s="13"/>
      <c r="G23" s="14">
        <v>1973611.111111111</v>
      </c>
      <c r="H23" s="15">
        <v>1973611.111111111</v>
      </c>
      <c r="I23" s="16">
        <v>0.08</v>
      </c>
      <c r="J23" s="17">
        <v>157889</v>
      </c>
      <c r="K23" s="17">
        <v>2131500.111111111</v>
      </c>
      <c r="L23" s="18"/>
    </row>
    <row r="24" spans="1:12" ht="15.5" x14ac:dyDescent="0.3">
      <c r="A24" s="64" t="s">
        <v>57</v>
      </c>
      <c r="B24" s="65" t="s">
        <v>58</v>
      </c>
      <c r="C24" s="66">
        <v>1</v>
      </c>
      <c r="D24" s="64" t="s">
        <v>49</v>
      </c>
      <c r="E24" s="13"/>
      <c r="F24" s="13"/>
      <c r="G24" s="14">
        <v>1315740.7407407407</v>
      </c>
      <c r="H24" s="15">
        <v>1315740.7407407407</v>
      </c>
      <c r="I24" s="16">
        <v>0.08</v>
      </c>
      <c r="J24" s="17">
        <v>105259</v>
      </c>
      <c r="K24" s="17">
        <v>1420999.7407407407</v>
      </c>
      <c r="L24" s="18"/>
    </row>
    <row r="25" spans="1:12" ht="15.5" x14ac:dyDescent="0.3">
      <c r="A25" s="64" t="s">
        <v>59</v>
      </c>
      <c r="B25" s="65" t="s">
        <v>60</v>
      </c>
      <c r="C25" s="66">
        <v>1</v>
      </c>
      <c r="D25" s="64" t="s">
        <v>49</v>
      </c>
      <c r="E25" s="13"/>
      <c r="F25" s="13"/>
      <c r="G25" s="14">
        <v>723657.4074074073</v>
      </c>
      <c r="H25" s="15">
        <v>723657.4074074073</v>
      </c>
      <c r="I25" s="16">
        <v>0.08</v>
      </c>
      <c r="J25" s="17">
        <v>57893</v>
      </c>
      <c r="K25" s="17">
        <v>781550.4074074073</v>
      </c>
      <c r="L25" s="18"/>
    </row>
    <row r="26" spans="1:12" ht="15.5" x14ac:dyDescent="0.3">
      <c r="A26" s="64" t="s">
        <v>61</v>
      </c>
      <c r="B26" s="65" t="s">
        <v>62</v>
      </c>
      <c r="C26" s="66">
        <v>3</v>
      </c>
      <c r="D26" s="64" t="s">
        <v>49</v>
      </c>
      <c r="E26" s="13"/>
      <c r="F26" s="13"/>
      <c r="G26" s="14">
        <v>1710462.9629629629</v>
      </c>
      <c r="H26" s="15">
        <v>5131388.888888889</v>
      </c>
      <c r="I26" s="16">
        <v>0.08</v>
      </c>
      <c r="J26" s="17">
        <v>410511</v>
      </c>
      <c r="K26" s="17">
        <v>5541899.888888889</v>
      </c>
      <c r="L26" s="18"/>
    </row>
    <row r="27" spans="1:12" ht="15.5" x14ac:dyDescent="0.3">
      <c r="A27" s="64" t="s">
        <v>63</v>
      </c>
      <c r="B27" s="65" t="s">
        <v>64</v>
      </c>
      <c r="C27" s="66">
        <v>4</v>
      </c>
      <c r="D27" s="64" t="s">
        <v>49</v>
      </c>
      <c r="E27" s="13"/>
      <c r="F27" s="13"/>
      <c r="G27" s="14">
        <v>13611111.11111111</v>
      </c>
      <c r="H27" s="15">
        <v>54444444.44444444</v>
      </c>
      <c r="I27" s="16">
        <v>0.08</v>
      </c>
      <c r="J27" s="17">
        <v>4355556</v>
      </c>
      <c r="K27" s="17">
        <v>58800000.44444444</v>
      </c>
      <c r="L27" s="18"/>
    </row>
    <row r="28" spans="1:12" ht="15.5" x14ac:dyDescent="0.3">
      <c r="A28" s="64" t="s">
        <v>65</v>
      </c>
      <c r="B28" s="65" t="s">
        <v>66</v>
      </c>
      <c r="C28" s="66">
        <v>150</v>
      </c>
      <c r="D28" s="64" t="s">
        <v>52</v>
      </c>
      <c r="E28" s="13"/>
      <c r="F28" s="13"/>
      <c r="G28" s="14">
        <v>59072.222222222219</v>
      </c>
      <c r="H28" s="15">
        <v>8860833.3333333321</v>
      </c>
      <c r="I28" s="16">
        <v>0.08</v>
      </c>
      <c r="J28" s="17">
        <v>708867</v>
      </c>
      <c r="K28" s="17">
        <v>9569700.3333333321</v>
      </c>
      <c r="L28" s="18"/>
    </row>
    <row r="29" spans="1:12" ht="15.5" x14ac:dyDescent="0.3">
      <c r="A29" s="64" t="s">
        <v>67</v>
      </c>
      <c r="B29" s="65" t="s">
        <v>68</v>
      </c>
      <c r="C29" s="66">
        <v>150</v>
      </c>
      <c r="D29" s="64" t="s">
        <v>52</v>
      </c>
      <c r="E29" s="13"/>
      <c r="F29" s="13"/>
      <c r="G29" s="14">
        <v>45914.81481481481</v>
      </c>
      <c r="H29" s="15">
        <v>6887222.2222222211</v>
      </c>
      <c r="I29" s="16">
        <v>0.08</v>
      </c>
      <c r="J29" s="17">
        <v>550978</v>
      </c>
      <c r="K29" s="17">
        <v>7438200.2222222211</v>
      </c>
      <c r="L29" s="18"/>
    </row>
    <row r="30" spans="1:12" ht="15.5" x14ac:dyDescent="0.3">
      <c r="A30" s="64" t="s">
        <v>69</v>
      </c>
      <c r="B30" s="65" t="s">
        <v>70</v>
      </c>
      <c r="C30" s="66">
        <v>20</v>
      </c>
      <c r="D30" s="64" t="s">
        <v>71</v>
      </c>
      <c r="E30" s="13"/>
      <c r="F30" s="13"/>
      <c r="G30" s="14">
        <v>15788.888888888887</v>
      </c>
      <c r="H30" s="15">
        <v>315777.77777777775</v>
      </c>
      <c r="I30" s="16">
        <v>0.08</v>
      </c>
      <c r="J30" s="17">
        <v>25262</v>
      </c>
      <c r="K30" s="17">
        <v>341039.77777777775</v>
      </c>
      <c r="L30" s="18"/>
    </row>
    <row r="31" spans="1:12" ht="15.5" x14ac:dyDescent="0.3">
      <c r="A31" s="64" t="s">
        <v>72</v>
      </c>
      <c r="B31" s="65" t="s">
        <v>73</v>
      </c>
      <c r="C31" s="66">
        <v>20</v>
      </c>
      <c r="D31" s="64" t="s">
        <v>71</v>
      </c>
      <c r="E31" s="13"/>
      <c r="F31" s="13"/>
      <c r="G31" s="14">
        <v>9210.1851851851843</v>
      </c>
      <c r="H31" s="15">
        <v>184203.70370370368</v>
      </c>
      <c r="I31" s="16">
        <v>0.08</v>
      </c>
      <c r="J31" s="17">
        <v>14736</v>
      </c>
      <c r="K31" s="17">
        <v>198939.70370370368</v>
      </c>
      <c r="L31" s="18"/>
    </row>
    <row r="32" spans="1:12" ht="15.5" x14ac:dyDescent="0.3">
      <c r="A32" s="64" t="s">
        <v>74</v>
      </c>
      <c r="B32" s="65" t="s">
        <v>75</v>
      </c>
      <c r="C32" s="66">
        <v>75.180000000000007</v>
      </c>
      <c r="D32" s="64" t="s">
        <v>76</v>
      </c>
      <c r="E32" s="13"/>
      <c r="F32" s="13"/>
      <c r="G32" s="14">
        <v>63155.555555555547</v>
      </c>
      <c r="H32" s="15">
        <v>4748034.666666666</v>
      </c>
      <c r="I32" s="16">
        <v>0.08</v>
      </c>
      <c r="J32" s="17">
        <v>379843</v>
      </c>
      <c r="K32" s="17">
        <v>5127877.666666666</v>
      </c>
      <c r="L32" s="18"/>
    </row>
    <row r="33" spans="1:12" ht="15.5" x14ac:dyDescent="0.3">
      <c r="A33" s="64" t="s">
        <v>77</v>
      </c>
      <c r="B33" s="65" t="s">
        <v>78</v>
      </c>
      <c r="C33" s="66">
        <v>37.700000000000003</v>
      </c>
      <c r="D33" s="64" t="s">
        <v>76</v>
      </c>
      <c r="E33" s="13"/>
      <c r="F33" s="13"/>
      <c r="G33" s="14">
        <v>63155.555555555547</v>
      </c>
      <c r="H33" s="15">
        <v>2380964.4444444445</v>
      </c>
      <c r="I33" s="16">
        <v>0.08</v>
      </c>
      <c r="J33" s="17">
        <v>190477</v>
      </c>
      <c r="K33" s="17">
        <v>2571441.4444444445</v>
      </c>
      <c r="L33" s="18"/>
    </row>
    <row r="34" spans="1:12" ht="15.5" x14ac:dyDescent="0.3">
      <c r="A34" s="64" t="s">
        <v>79</v>
      </c>
      <c r="B34" s="65" t="s">
        <v>80</v>
      </c>
      <c r="C34" s="66">
        <v>41.92</v>
      </c>
      <c r="D34" s="64" t="s">
        <v>76</v>
      </c>
      <c r="E34" s="13"/>
      <c r="F34" s="13"/>
      <c r="G34" s="14">
        <v>63155.555555555547</v>
      </c>
      <c r="H34" s="15">
        <v>2647480.8888888885</v>
      </c>
      <c r="I34" s="16">
        <v>0.08</v>
      </c>
      <c r="J34" s="17">
        <v>211798</v>
      </c>
      <c r="K34" s="17">
        <v>2859278.8888888885</v>
      </c>
      <c r="L34" s="18"/>
    </row>
    <row r="35" spans="1:12" ht="15.5" x14ac:dyDescent="0.3">
      <c r="A35" s="64" t="s">
        <v>81</v>
      </c>
      <c r="B35" s="65" t="s">
        <v>82</v>
      </c>
      <c r="C35" s="66">
        <v>16</v>
      </c>
      <c r="D35" s="64" t="s">
        <v>49</v>
      </c>
      <c r="E35" s="13"/>
      <c r="F35" s="13"/>
      <c r="G35" s="14">
        <v>23683.333333333332</v>
      </c>
      <c r="H35" s="15">
        <v>378933.33333333331</v>
      </c>
      <c r="I35" s="16">
        <v>0.08</v>
      </c>
      <c r="J35" s="17">
        <v>30315</v>
      </c>
      <c r="K35" s="17">
        <v>409248.33333333331</v>
      </c>
      <c r="L35" s="18"/>
    </row>
    <row r="36" spans="1:12" ht="15.5" x14ac:dyDescent="0.3">
      <c r="A36" s="64" t="s">
        <v>83</v>
      </c>
      <c r="B36" s="65" t="s">
        <v>84</v>
      </c>
      <c r="C36" s="66">
        <v>1</v>
      </c>
      <c r="D36" s="64" t="s">
        <v>85</v>
      </c>
      <c r="E36" s="13"/>
      <c r="F36" s="13"/>
      <c r="G36" s="14">
        <v>14155555.555555556</v>
      </c>
      <c r="H36" s="15">
        <v>14155555.555555556</v>
      </c>
      <c r="I36" s="16">
        <v>0.08</v>
      </c>
      <c r="J36" s="17">
        <v>1132444</v>
      </c>
      <c r="K36" s="17">
        <v>15287999.555555556</v>
      </c>
      <c r="L36" s="18"/>
    </row>
    <row r="37" spans="1:12" ht="15.5" x14ac:dyDescent="0.3">
      <c r="A37" s="64" t="s">
        <v>86</v>
      </c>
      <c r="B37" s="65" t="s">
        <v>87</v>
      </c>
      <c r="C37" s="66">
        <v>1</v>
      </c>
      <c r="D37" s="64" t="s">
        <v>88</v>
      </c>
      <c r="E37" s="13"/>
      <c r="F37" s="13"/>
      <c r="G37" s="14">
        <v>2434120.3703703703</v>
      </c>
      <c r="H37" s="15">
        <v>2434120.3703703703</v>
      </c>
      <c r="I37" s="16">
        <v>0.08</v>
      </c>
      <c r="J37" s="17">
        <v>194730</v>
      </c>
      <c r="K37" s="17">
        <v>2628850.3703703703</v>
      </c>
      <c r="L37" s="18"/>
    </row>
    <row r="38" spans="1:12" ht="31" x14ac:dyDescent="0.3">
      <c r="A38" s="64" t="s">
        <v>89</v>
      </c>
      <c r="B38" s="65" t="s">
        <v>90</v>
      </c>
      <c r="C38" s="66">
        <v>300</v>
      </c>
      <c r="D38" s="64" t="s">
        <v>52</v>
      </c>
      <c r="E38" s="13"/>
      <c r="F38" s="13"/>
      <c r="G38" s="14">
        <v>10000</v>
      </c>
      <c r="H38" s="15">
        <v>3000000</v>
      </c>
      <c r="I38" s="16">
        <v>0.08</v>
      </c>
      <c r="J38" s="17">
        <v>240000</v>
      </c>
      <c r="K38" s="17">
        <v>3240000</v>
      </c>
      <c r="L38" s="18"/>
    </row>
    <row r="39" spans="1:12" ht="31" x14ac:dyDescent="0.3">
      <c r="A39" s="64" t="s">
        <v>91</v>
      </c>
      <c r="B39" s="65" t="s">
        <v>92</v>
      </c>
      <c r="C39" s="66">
        <v>350</v>
      </c>
      <c r="D39" s="64" t="s">
        <v>52</v>
      </c>
      <c r="E39" s="13"/>
      <c r="F39" s="13"/>
      <c r="G39" s="14">
        <v>8000</v>
      </c>
      <c r="H39" s="15">
        <v>2800000</v>
      </c>
      <c r="I39" s="16">
        <v>0.08</v>
      </c>
      <c r="J39" s="17">
        <v>224000</v>
      </c>
      <c r="K39" s="17">
        <v>3024000</v>
      </c>
      <c r="L39" s="18"/>
    </row>
    <row r="40" spans="1:12" ht="15.5" x14ac:dyDescent="0.3">
      <c r="A40" s="56" t="s">
        <v>93</v>
      </c>
      <c r="B40" s="57" t="s">
        <v>94</v>
      </c>
      <c r="C40" s="58">
        <v>150</v>
      </c>
      <c r="D40" s="56" t="s">
        <v>52</v>
      </c>
      <c r="E40" s="13"/>
      <c r="F40" s="13"/>
      <c r="G40" s="14">
        <v>28946.296296296296</v>
      </c>
      <c r="H40" s="15">
        <v>4341944.444444444</v>
      </c>
      <c r="I40" s="16">
        <v>0.08</v>
      </c>
      <c r="J40" s="17">
        <v>347356</v>
      </c>
      <c r="K40" s="17">
        <v>4689300.444444444</v>
      </c>
      <c r="L40" s="18"/>
    </row>
    <row r="41" spans="1:12" ht="15.5" x14ac:dyDescent="0.3">
      <c r="A41" s="53" t="s">
        <v>95</v>
      </c>
      <c r="B41" s="54" t="s">
        <v>96</v>
      </c>
      <c r="C41" s="58"/>
      <c r="D41" s="56"/>
      <c r="E41" s="13"/>
      <c r="F41" s="13"/>
      <c r="G41" s="14">
        <v>0</v>
      </c>
      <c r="H41" s="15"/>
      <c r="I41" s="16"/>
      <c r="J41" s="17"/>
      <c r="K41" s="17"/>
      <c r="L41" s="18"/>
    </row>
    <row r="42" spans="1:12" ht="15.5" x14ac:dyDescent="0.3">
      <c r="A42" s="56" t="s">
        <v>26</v>
      </c>
      <c r="B42" s="57" t="s">
        <v>97</v>
      </c>
      <c r="C42" s="58">
        <v>20</v>
      </c>
      <c r="D42" s="56" t="s">
        <v>39</v>
      </c>
      <c r="E42" s="13"/>
      <c r="F42" s="13"/>
      <c r="G42" s="14">
        <v>368407.40740740736</v>
      </c>
      <c r="H42" s="15">
        <v>7368148.1481481474</v>
      </c>
      <c r="I42" s="16">
        <v>0.08</v>
      </c>
      <c r="J42" s="17">
        <v>589452</v>
      </c>
      <c r="K42" s="17">
        <v>7957600.1481481474</v>
      </c>
      <c r="L42" s="18"/>
    </row>
    <row r="43" spans="1:12" ht="15.5" x14ac:dyDescent="0.3">
      <c r="A43" s="56" t="s">
        <v>28</v>
      </c>
      <c r="B43" s="57" t="s">
        <v>98</v>
      </c>
      <c r="C43" s="58">
        <v>150</v>
      </c>
      <c r="D43" s="56" t="s">
        <v>52</v>
      </c>
      <c r="E43" s="13"/>
      <c r="F43" s="13"/>
      <c r="G43" s="14">
        <v>243412.03703703702</v>
      </c>
      <c r="H43" s="15">
        <v>36511805.555555552</v>
      </c>
      <c r="I43" s="16">
        <v>0.08</v>
      </c>
      <c r="J43" s="17">
        <v>2920944</v>
      </c>
      <c r="K43" s="17">
        <v>39432749.555555552</v>
      </c>
      <c r="L43" s="18"/>
    </row>
    <row r="44" spans="1:12" ht="15.5" x14ac:dyDescent="0.3">
      <c r="A44" s="56" t="s">
        <v>30</v>
      </c>
      <c r="B44" s="57" t="s">
        <v>99</v>
      </c>
      <c r="C44" s="58">
        <v>20</v>
      </c>
      <c r="D44" s="56" t="s">
        <v>20</v>
      </c>
      <c r="E44" s="13"/>
      <c r="F44" s="13"/>
      <c r="G44" s="14">
        <v>261832.40740740739</v>
      </c>
      <c r="H44" s="15">
        <v>5236648.1481481474</v>
      </c>
      <c r="I44" s="16">
        <v>0.08</v>
      </c>
      <c r="J44" s="17">
        <v>418932</v>
      </c>
      <c r="K44" s="17">
        <v>5655580.1481481474</v>
      </c>
      <c r="L44" s="18"/>
    </row>
    <row r="45" spans="1:12" ht="15.5" x14ac:dyDescent="0.3">
      <c r="A45" s="56" t="s">
        <v>32</v>
      </c>
      <c r="B45" s="57" t="s">
        <v>100</v>
      </c>
      <c r="C45" s="58">
        <v>10</v>
      </c>
      <c r="D45" s="56" t="s">
        <v>101</v>
      </c>
      <c r="E45" s="13"/>
      <c r="F45" s="13"/>
      <c r="G45" s="14">
        <v>348671.29629629629</v>
      </c>
      <c r="H45" s="15">
        <v>3486712.9629629627</v>
      </c>
      <c r="I45" s="16">
        <v>0.08</v>
      </c>
      <c r="J45" s="17">
        <v>278937</v>
      </c>
      <c r="K45" s="17">
        <v>3765649.9629629627</v>
      </c>
      <c r="L45" s="18"/>
    </row>
    <row r="46" spans="1:12" ht="15.5" x14ac:dyDescent="0.3">
      <c r="A46" s="56" t="s">
        <v>42</v>
      </c>
      <c r="B46" s="57" t="s">
        <v>102</v>
      </c>
      <c r="C46" s="58">
        <v>200</v>
      </c>
      <c r="D46" s="56" t="s">
        <v>52</v>
      </c>
      <c r="E46" s="13"/>
      <c r="F46" s="13"/>
      <c r="G46" s="14">
        <v>72365.74074074073</v>
      </c>
      <c r="H46" s="15">
        <v>14473148.148148146</v>
      </c>
      <c r="I46" s="16">
        <v>0.08</v>
      </c>
      <c r="J46" s="17">
        <v>1157852</v>
      </c>
      <c r="K46" s="17">
        <v>15631000.148148146</v>
      </c>
      <c r="L46" s="18"/>
    </row>
    <row r="47" spans="1:12" ht="15.5" x14ac:dyDescent="0.3">
      <c r="A47" s="56" t="s">
        <v>45</v>
      </c>
      <c r="B47" s="57" t="s">
        <v>103</v>
      </c>
      <c r="C47" s="60">
        <v>25</v>
      </c>
      <c r="D47" s="61" t="s">
        <v>18</v>
      </c>
      <c r="E47" s="13"/>
      <c r="F47" s="13"/>
      <c r="G47" s="14">
        <v>855231.48148148146</v>
      </c>
      <c r="H47" s="15">
        <v>21380787.037037037</v>
      </c>
      <c r="I47" s="16">
        <v>0.08</v>
      </c>
      <c r="J47" s="17">
        <v>1710463</v>
      </c>
      <c r="K47" s="17">
        <v>23091250.037037037</v>
      </c>
      <c r="L47" s="18"/>
    </row>
    <row r="48" spans="1:12" ht="15.5" x14ac:dyDescent="0.3">
      <c r="A48" s="56" t="s">
        <v>47</v>
      </c>
      <c r="B48" s="57" t="s">
        <v>104</v>
      </c>
      <c r="C48" s="60">
        <v>0.75</v>
      </c>
      <c r="D48" s="61" t="s">
        <v>105</v>
      </c>
      <c r="E48" s="13"/>
      <c r="F48" s="13"/>
      <c r="G48" s="14">
        <v>2540740.7407407407</v>
      </c>
      <c r="H48" s="15">
        <v>1905555.5555555555</v>
      </c>
      <c r="I48" s="16">
        <v>0.08</v>
      </c>
      <c r="J48" s="17">
        <v>152444</v>
      </c>
      <c r="K48" s="17">
        <v>2057999.5555555555</v>
      </c>
      <c r="L48" s="18"/>
    </row>
    <row r="49" spans="1:12" ht="15.5" x14ac:dyDescent="0.3">
      <c r="A49" s="56" t="s">
        <v>50</v>
      </c>
      <c r="B49" s="57" t="s">
        <v>106</v>
      </c>
      <c r="C49" s="60">
        <v>1.8</v>
      </c>
      <c r="D49" s="61" t="s">
        <v>105</v>
      </c>
      <c r="E49" s="13"/>
      <c r="F49" s="13"/>
      <c r="G49" s="14">
        <v>2812962.9629629632</v>
      </c>
      <c r="H49" s="15">
        <v>5063333.333333334</v>
      </c>
      <c r="I49" s="16">
        <v>0.08</v>
      </c>
      <c r="J49" s="17">
        <v>405067</v>
      </c>
      <c r="K49" s="17">
        <v>5468400.333333334</v>
      </c>
      <c r="L49" s="18"/>
    </row>
    <row r="50" spans="1:12" ht="15.5" x14ac:dyDescent="0.3">
      <c r="A50" s="56" t="s">
        <v>53</v>
      </c>
      <c r="B50" s="57" t="s">
        <v>107</v>
      </c>
      <c r="C50" s="60">
        <v>20</v>
      </c>
      <c r="D50" s="61" t="s">
        <v>76</v>
      </c>
      <c r="E50" s="13"/>
      <c r="F50" s="13"/>
      <c r="G50" s="14">
        <v>85523.148148148146</v>
      </c>
      <c r="H50" s="15">
        <v>1710462.9629629629</v>
      </c>
      <c r="I50" s="16">
        <v>0.08</v>
      </c>
      <c r="J50" s="17">
        <v>136837</v>
      </c>
      <c r="K50" s="17">
        <v>1847299.9629629629</v>
      </c>
      <c r="L50" s="18"/>
    </row>
    <row r="51" spans="1:12" ht="15.5" x14ac:dyDescent="0.3">
      <c r="A51" s="56" t="s">
        <v>55</v>
      </c>
      <c r="B51" s="57" t="s">
        <v>108</v>
      </c>
      <c r="C51" s="60">
        <v>20.3</v>
      </c>
      <c r="D51" s="61" t="s">
        <v>76</v>
      </c>
      <c r="E51" s="13"/>
      <c r="F51" s="13"/>
      <c r="G51" s="14">
        <v>72365.74074074073</v>
      </c>
      <c r="H51" s="15">
        <v>1469024.5370370368</v>
      </c>
      <c r="I51" s="16">
        <v>0.08</v>
      </c>
      <c r="J51" s="17">
        <v>117522</v>
      </c>
      <c r="K51" s="17">
        <v>1586546.5370370368</v>
      </c>
      <c r="L51" s="18"/>
    </row>
    <row r="52" spans="1:12" ht="15.5" x14ac:dyDescent="0.3">
      <c r="A52" s="56" t="s">
        <v>57</v>
      </c>
      <c r="B52" s="57" t="s">
        <v>109</v>
      </c>
      <c r="C52" s="60">
        <v>20.3</v>
      </c>
      <c r="D52" s="61" t="s">
        <v>76</v>
      </c>
      <c r="E52" s="13"/>
      <c r="F52" s="13"/>
      <c r="G52" s="14">
        <v>15788.888888888887</v>
      </c>
      <c r="H52" s="15">
        <v>320514.44444444444</v>
      </c>
      <c r="I52" s="16">
        <v>0.08</v>
      </c>
      <c r="J52" s="17">
        <v>25641</v>
      </c>
      <c r="K52" s="17">
        <v>346155.44444444444</v>
      </c>
      <c r="L52" s="18"/>
    </row>
    <row r="53" spans="1:12" ht="15.5" x14ac:dyDescent="0.3">
      <c r="A53" s="56" t="s">
        <v>59</v>
      </c>
      <c r="B53" s="57" t="s">
        <v>110</v>
      </c>
      <c r="C53" s="60">
        <v>3</v>
      </c>
      <c r="D53" s="61" t="s">
        <v>111</v>
      </c>
      <c r="E53" s="13"/>
      <c r="F53" s="13"/>
      <c r="G53" s="14">
        <v>157888.88888888888</v>
      </c>
      <c r="H53" s="15">
        <v>473666.66666666663</v>
      </c>
      <c r="I53" s="16">
        <v>0.08</v>
      </c>
      <c r="J53" s="17">
        <v>37893</v>
      </c>
      <c r="K53" s="17">
        <v>511559.66666666663</v>
      </c>
      <c r="L53" s="18"/>
    </row>
    <row r="54" spans="1:12" ht="15.5" x14ac:dyDescent="0.3">
      <c r="A54" s="56" t="s">
        <v>61</v>
      </c>
      <c r="B54" s="57" t="s">
        <v>112</v>
      </c>
      <c r="C54" s="60">
        <v>25</v>
      </c>
      <c r="D54" s="61" t="s">
        <v>18</v>
      </c>
      <c r="E54" s="13"/>
      <c r="F54" s="13"/>
      <c r="G54" s="14">
        <v>592083.33333333326</v>
      </c>
      <c r="H54" s="15">
        <v>14802083.333333332</v>
      </c>
      <c r="I54" s="16">
        <v>0.08</v>
      </c>
      <c r="J54" s="17">
        <v>1184167</v>
      </c>
      <c r="K54" s="17">
        <v>15986250.333333332</v>
      </c>
      <c r="L54" s="18"/>
    </row>
    <row r="55" spans="1:12" ht="15.5" x14ac:dyDescent="0.3">
      <c r="A55" s="53" t="s">
        <v>113</v>
      </c>
      <c r="B55" s="54" t="s">
        <v>114</v>
      </c>
      <c r="C55" s="60"/>
      <c r="D55" s="61"/>
      <c r="E55" s="13"/>
      <c r="F55" s="13"/>
      <c r="G55" s="14">
        <v>0</v>
      </c>
      <c r="H55" s="15"/>
      <c r="I55" s="16"/>
      <c r="J55" s="17"/>
      <c r="K55" s="17"/>
      <c r="L55" s="18"/>
    </row>
    <row r="56" spans="1:12" ht="15.5" x14ac:dyDescent="0.3">
      <c r="A56" s="56" t="s">
        <v>26</v>
      </c>
      <c r="B56" s="57" t="s">
        <v>115</v>
      </c>
      <c r="C56" s="60">
        <v>3</v>
      </c>
      <c r="D56" s="61" t="s">
        <v>18</v>
      </c>
      <c r="E56" s="13"/>
      <c r="F56" s="13"/>
      <c r="G56" s="14">
        <v>1249953.7037037036</v>
      </c>
      <c r="H56" s="15">
        <v>3749861.111111111</v>
      </c>
      <c r="I56" s="16">
        <v>0.08</v>
      </c>
      <c r="J56" s="17">
        <v>299989</v>
      </c>
      <c r="K56" s="17">
        <v>4049850.111111111</v>
      </c>
      <c r="L56" s="18"/>
    </row>
    <row r="57" spans="1:12" ht="15.5" x14ac:dyDescent="0.3">
      <c r="A57" s="56" t="s">
        <v>28</v>
      </c>
      <c r="B57" s="57" t="s">
        <v>116</v>
      </c>
      <c r="C57" s="60">
        <v>0.2</v>
      </c>
      <c r="D57" s="61" t="s">
        <v>105</v>
      </c>
      <c r="E57" s="13"/>
      <c r="F57" s="13"/>
      <c r="G57" s="14">
        <v>2540740.7407407407</v>
      </c>
      <c r="H57" s="15">
        <v>508148.14814814815</v>
      </c>
      <c r="I57" s="16">
        <v>0.08</v>
      </c>
      <c r="J57" s="17">
        <v>40652</v>
      </c>
      <c r="K57" s="17">
        <v>548800.14814814809</v>
      </c>
      <c r="L57" s="18"/>
    </row>
    <row r="58" spans="1:12" ht="15.5" x14ac:dyDescent="0.3">
      <c r="A58" s="56" t="s">
        <v>30</v>
      </c>
      <c r="B58" s="57" t="s">
        <v>106</v>
      </c>
      <c r="C58" s="60">
        <v>0.4</v>
      </c>
      <c r="D58" s="61" t="s">
        <v>105</v>
      </c>
      <c r="E58" s="13"/>
      <c r="F58" s="13"/>
      <c r="G58" s="14">
        <v>2812962.9629629632</v>
      </c>
      <c r="H58" s="15">
        <v>1125185.1851851854</v>
      </c>
      <c r="I58" s="16">
        <v>0.08</v>
      </c>
      <c r="J58" s="17">
        <v>90015</v>
      </c>
      <c r="K58" s="17">
        <v>1215200.1851851854</v>
      </c>
      <c r="L58" s="18"/>
    </row>
    <row r="59" spans="1:12" ht="15.5" x14ac:dyDescent="0.3">
      <c r="A59" s="56" t="s">
        <v>32</v>
      </c>
      <c r="B59" s="57" t="s">
        <v>117</v>
      </c>
      <c r="C59" s="60">
        <v>15.3</v>
      </c>
      <c r="D59" s="61" t="s">
        <v>76</v>
      </c>
      <c r="E59" s="13"/>
      <c r="F59" s="13"/>
      <c r="G59" s="14">
        <v>32893.518518518511</v>
      </c>
      <c r="H59" s="15">
        <v>503270.83333333326</v>
      </c>
      <c r="I59" s="16">
        <v>0.08</v>
      </c>
      <c r="J59" s="17">
        <v>40262</v>
      </c>
      <c r="K59" s="17">
        <v>543532.83333333326</v>
      </c>
      <c r="L59" s="18"/>
    </row>
    <row r="60" spans="1:12" ht="15.5" x14ac:dyDescent="0.3">
      <c r="A60" s="56" t="s">
        <v>42</v>
      </c>
      <c r="B60" s="57" t="s">
        <v>118</v>
      </c>
      <c r="C60" s="60">
        <v>12.8</v>
      </c>
      <c r="D60" s="61" t="s">
        <v>76</v>
      </c>
      <c r="E60" s="13"/>
      <c r="F60" s="13"/>
      <c r="G60" s="14">
        <v>32893.518518518511</v>
      </c>
      <c r="H60" s="15">
        <v>421037.03703703696</v>
      </c>
      <c r="I60" s="16">
        <v>0.08</v>
      </c>
      <c r="J60" s="17">
        <v>33683</v>
      </c>
      <c r="K60" s="17">
        <v>454720.03703703696</v>
      </c>
      <c r="L60" s="18"/>
    </row>
    <row r="61" spans="1:12" ht="15.5" x14ac:dyDescent="0.3">
      <c r="A61" s="56" t="s">
        <v>45</v>
      </c>
      <c r="B61" s="57" t="s">
        <v>119</v>
      </c>
      <c r="C61" s="60">
        <v>0.32</v>
      </c>
      <c r="D61" s="61" t="s">
        <v>111</v>
      </c>
      <c r="E61" s="13"/>
      <c r="F61" s="13"/>
      <c r="G61" s="14">
        <v>157888.88888888888</v>
      </c>
      <c r="H61" s="15">
        <v>50524.444444444438</v>
      </c>
      <c r="I61" s="16">
        <v>0.08</v>
      </c>
      <c r="J61" s="17">
        <v>4042</v>
      </c>
      <c r="K61" s="17">
        <v>54566.444444444438</v>
      </c>
      <c r="L61" s="18"/>
    </row>
    <row r="62" spans="1:12" ht="15.5" x14ac:dyDescent="0.3">
      <c r="A62" s="56" t="s">
        <v>47</v>
      </c>
      <c r="B62" s="57" t="s">
        <v>120</v>
      </c>
      <c r="C62" s="60">
        <v>1.2</v>
      </c>
      <c r="D62" s="61" t="s">
        <v>52</v>
      </c>
      <c r="E62" s="13"/>
      <c r="F62" s="13"/>
      <c r="G62" s="14">
        <v>421037.03703703702</v>
      </c>
      <c r="H62" s="15">
        <v>505244.44444444438</v>
      </c>
      <c r="I62" s="16">
        <v>0.08</v>
      </c>
      <c r="J62" s="17">
        <v>40420</v>
      </c>
      <c r="K62" s="17">
        <v>545664.44444444438</v>
      </c>
      <c r="L62" s="18"/>
    </row>
    <row r="63" spans="1:12" ht="15.5" x14ac:dyDescent="0.3">
      <c r="A63" s="56" t="s">
        <v>50</v>
      </c>
      <c r="B63" s="57" t="s">
        <v>121</v>
      </c>
      <c r="C63" s="60">
        <v>2</v>
      </c>
      <c r="D63" s="61" t="s">
        <v>122</v>
      </c>
      <c r="E63" s="13"/>
      <c r="F63" s="13"/>
      <c r="G63" s="14">
        <v>282884.25925925927</v>
      </c>
      <c r="H63" s="15">
        <v>565768.51851851854</v>
      </c>
      <c r="I63" s="16">
        <v>0.08</v>
      </c>
      <c r="J63" s="17">
        <v>45261</v>
      </c>
      <c r="K63" s="17">
        <v>611029.51851851854</v>
      </c>
      <c r="L63" s="18"/>
    </row>
    <row r="64" spans="1:12" ht="15.5" x14ac:dyDescent="0.3">
      <c r="A64" s="56" t="s">
        <v>53</v>
      </c>
      <c r="B64" s="57" t="s">
        <v>123</v>
      </c>
      <c r="C64" s="60">
        <v>9.6</v>
      </c>
      <c r="D64" s="61" t="s">
        <v>76</v>
      </c>
      <c r="E64" s="13"/>
      <c r="F64" s="13"/>
      <c r="G64" s="14">
        <v>85523.148148148146</v>
      </c>
      <c r="H64" s="15">
        <v>821022.22222222213</v>
      </c>
      <c r="I64" s="16">
        <v>0.08</v>
      </c>
      <c r="J64" s="17">
        <v>65682</v>
      </c>
      <c r="K64" s="17">
        <v>886704.22222222213</v>
      </c>
      <c r="L64" s="18"/>
    </row>
    <row r="65" spans="1:12" ht="15.5" x14ac:dyDescent="0.3">
      <c r="A65" s="56" t="s">
        <v>55</v>
      </c>
      <c r="B65" s="57" t="s">
        <v>112</v>
      </c>
      <c r="C65" s="60">
        <v>3</v>
      </c>
      <c r="D65" s="61" t="s">
        <v>18</v>
      </c>
      <c r="E65" s="13"/>
      <c r="F65" s="13"/>
      <c r="G65" s="14">
        <v>592083.33333333326</v>
      </c>
      <c r="H65" s="15">
        <v>1776249.9999999998</v>
      </c>
      <c r="I65" s="16">
        <v>0.08</v>
      </c>
      <c r="J65" s="17">
        <v>142100</v>
      </c>
      <c r="K65" s="17">
        <v>1918349.9999999998</v>
      </c>
      <c r="L65" s="18"/>
    </row>
    <row r="66" spans="1:12" ht="15.5" x14ac:dyDescent="0.3">
      <c r="A66" s="53" t="s">
        <v>124</v>
      </c>
      <c r="B66" s="54" t="s">
        <v>125</v>
      </c>
      <c r="C66" s="60"/>
      <c r="D66" s="61"/>
      <c r="E66" s="13"/>
      <c r="F66" s="13"/>
      <c r="G66" s="14">
        <v>0</v>
      </c>
      <c r="H66" s="15"/>
      <c r="I66" s="16"/>
      <c r="J66" s="17"/>
      <c r="K66" s="17"/>
      <c r="L66" s="18"/>
    </row>
    <row r="67" spans="1:12" ht="15.5" x14ac:dyDescent="0.3">
      <c r="A67" s="56" t="s">
        <v>26</v>
      </c>
      <c r="B67" s="57" t="s">
        <v>103</v>
      </c>
      <c r="C67" s="60">
        <v>2</v>
      </c>
      <c r="D67" s="61" t="s">
        <v>18</v>
      </c>
      <c r="E67" s="13"/>
      <c r="F67" s="13"/>
      <c r="G67" s="14">
        <v>1249953.7037037036</v>
      </c>
      <c r="H67" s="15">
        <v>2499907.4074074072</v>
      </c>
      <c r="I67" s="16">
        <v>0.08</v>
      </c>
      <c r="J67" s="17">
        <v>199993</v>
      </c>
      <c r="K67" s="17">
        <v>2699900.4074074072</v>
      </c>
      <c r="L67" s="18"/>
    </row>
    <row r="68" spans="1:12" ht="15.5" x14ac:dyDescent="0.3">
      <c r="A68" s="56" t="s">
        <v>28</v>
      </c>
      <c r="B68" s="57" t="s">
        <v>104</v>
      </c>
      <c r="C68" s="60">
        <v>7.4800000000000005E-2</v>
      </c>
      <c r="D68" s="61" t="s">
        <v>105</v>
      </c>
      <c r="E68" s="13"/>
      <c r="F68" s="13"/>
      <c r="G68" s="14">
        <v>2540740.7407407407</v>
      </c>
      <c r="H68" s="15">
        <v>190047.40740740742</v>
      </c>
      <c r="I68" s="16">
        <v>0.08</v>
      </c>
      <c r="J68" s="17">
        <v>15204</v>
      </c>
      <c r="K68" s="17">
        <v>205251.40740740742</v>
      </c>
      <c r="L68" s="18"/>
    </row>
    <row r="69" spans="1:12" ht="15.5" x14ac:dyDescent="0.3">
      <c r="A69" s="56" t="s">
        <v>30</v>
      </c>
      <c r="B69" s="57" t="s">
        <v>106</v>
      </c>
      <c r="C69" s="60">
        <v>9.5000000000000001E-2</v>
      </c>
      <c r="D69" s="61" t="s">
        <v>105</v>
      </c>
      <c r="E69" s="13"/>
      <c r="F69" s="13"/>
      <c r="G69" s="14">
        <v>2812962.9629629632</v>
      </c>
      <c r="H69" s="15">
        <v>267231.48148148152</v>
      </c>
      <c r="I69" s="16">
        <v>0.08</v>
      </c>
      <c r="J69" s="17">
        <v>21379</v>
      </c>
      <c r="K69" s="17">
        <v>288610.48148148152</v>
      </c>
      <c r="L69" s="18"/>
    </row>
    <row r="70" spans="1:12" ht="15.5" x14ac:dyDescent="0.3">
      <c r="A70" s="56" t="s">
        <v>32</v>
      </c>
      <c r="B70" s="57" t="s">
        <v>126</v>
      </c>
      <c r="C70" s="60">
        <v>0.38</v>
      </c>
      <c r="D70" s="61" t="s">
        <v>111</v>
      </c>
      <c r="E70" s="13"/>
      <c r="F70" s="13"/>
      <c r="G70" s="14">
        <v>157888.88888888888</v>
      </c>
      <c r="H70" s="15">
        <v>59997.777777777774</v>
      </c>
      <c r="I70" s="16">
        <v>0.08</v>
      </c>
      <c r="J70" s="17">
        <v>4800</v>
      </c>
      <c r="K70" s="17">
        <v>64797.777777777774</v>
      </c>
      <c r="L70" s="18"/>
    </row>
    <row r="71" spans="1:12" ht="15.5" x14ac:dyDescent="0.3">
      <c r="A71" s="56" t="s">
        <v>42</v>
      </c>
      <c r="B71" s="57" t="s">
        <v>127</v>
      </c>
      <c r="C71" s="60">
        <v>1.6</v>
      </c>
      <c r="D71" s="61" t="s">
        <v>76</v>
      </c>
      <c r="E71" s="13"/>
      <c r="F71" s="13"/>
      <c r="G71" s="14">
        <v>85523.148148148146</v>
      </c>
      <c r="H71" s="15">
        <v>136837.03703703705</v>
      </c>
      <c r="I71" s="16">
        <v>0.08</v>
      </c>
      <c r="J71" s="17">
        <v>10947</v>
      </c>
      <c r="K71" s="17">
        <v>147784.03703703705</v>
      </c>
      <c r="L71" s="18"/>
    </row>
    <row r="72" spans="1:12" ht="15.5" x14ac:dyDescent="0.3">
      <c r="A72" s="56" t="s">
        <v>45</v>
      </c>
      <c r="B72" s="57" t="s">
        <v>128</v>
      </c>
      <c r="C72" s="60">
        <v>2</v>
      </c>
      <c r="D72" s="61" t="s">
        <v>18</v>
      </c>
      <c r="E72" s="13"/>
      <c r="F72" s="13"/>
      <c r="G72" s="14">
        <v>592083.33333333326</v>
      </c>
      <c r="H72" s="15">
        <v>1184166.6666666665</v>
      </c>
      <c r="I72" s="16">
        <v>0.08</v>
      </c>
      <c r="J72" s="17">
        <v>94733</v>
      </c>
      <c r="K72" s="17">
        <v>1278899.6666666665</v>
      </c>
      <c r="L72" s="18"/>
    </row>
    <row r="73" spans="1:12" ht="15.5" x14ac:dyDescent="0.3">
      <c r="A73" s="53" t="s">
        <v>129</v>
      </c>
      <c r="B73" s="54" t="s">
        <v>130</v>
      </c>
      <c r="C73" s="60"/>
      <c r="D73" s="61"/>
      <c r="E73" s="13"/>
      <c r="F73" s="13"/>
      <c r="G73" s="14"/>
      <c r="H73" s="15"/>
      <c r="I73" s="16"/>
      <c r="J73" s="17"/>
      <c r="K73" s="17"/>
      <c r="L73" s="18"/>
    </row>
    <row r="74" spans="1:12" ht="15.5" x14ac:dyDescent="0.3">
      <c r="A74" s="56" t="s">
        <v>26</v>
      </c>
      <c r="B74" s="57" t="s">
        <v>131</v>
      </c>
      <c r="C74" s="60">
        <v>1</v>
      </c>
      <c r="D74" s="61" t="s">
        <v>18</v>
      </c>
      <c r="E74" s="13"/>
      <c r="F74" s="13"/>
      <c r="G74" s="14">
        <v>8393518.5185185168</v>
      </c>
      <c r="H74" s="15">
        <v>8393518.5185185168</v>
      </c>
      <c r="I74" s="16">
        <v>0.08</v>
      </c>
      <c r="J74" s="17">
        <v>671481</v>
      </c>
      <c r="K74" s="17">
        <v>9064999.5185185168</v>
      </c>
      <c r="L74" s="18"/>
    </row>
    <row r="75" spans="1:12" ht="15.5" x14ac:dyDescent="0.3">
      <c r="A75" s="56" t="s">
        <v>28</v>
      </c>
      <c r="B75" s="57" t="s">
        <v>132</v>
      </c>
      <c r="C75" s="60">
        <v>1</v>
      </c>
      <c r="D75" s="61" t="s">
        <v>18</v>
      </c>
      <c r="E75" s="13"/>
      <c r="F75" s="13"/>
      <c r="G75" s="14">
        <v>5353703.7037037034</v>
      </c>
      <c r="H75" s="15">
        <v>5353703.7037037034</v>
      </c>
      <c r="I75" s="16">
        <v>0.08</v>
      </c>
      <c r="J75" s="17">
        <v>428296</v>
      </c>
      <c r="K75" s="17">
        <v>5781999.7037037034</v>
      </c>
      <c r="L75" s="18"/>
    </row>
    <row r="76" spans="1:12" ht="15.5" x14ac:dyDescent="0.3">
      <c r="A76" s="56" t="s">
        <v>30</v>
      </c>
      <c r="B76" s="57" t="s">
        <v>133</v>
      </c>
      <c r="C76" s="60">
        <v>0.27</v>
      </c>
      <c r="D76" s="61" t="s">
        <v>105</v>
      </c>
      <c r="E76" s="13"/>
      <c r="F76" s="13"/>
      <c r="G76" s="14">
        <v>1118379.6296296294</v>
      </c>
      <c r="H76" s="15">
        <v>301962.49999999994</v>
      </c>
      <c r="I76" s="16">
        <v>0.08</v>
      </c>
      <c r="J76" s="17">
        <v>24157</v>
      </c>
      <c r="K76" s="17">
        <v>326119.49999999994</v>
      </c>
      <c r="L76" s="18"/>
    </row>
    <row r="77" spans="1:12" ht="15.5" x14ac:dyDescent="0.3">
      <c r="A77" s="56" t="s">
        <v>32</v>
      </c>
      <c r="B77" s="57" t="s">
        <v>134</v>
      </c>
      <c r="C77" s="60">
        <v>1.33</v>
      </c>
      <c r="D77" s="61" t="s">
        <v>111</v>
      </c>
      <c r="E77" s="13"/>
      <c r="F77" s="13"/>
      <c r="G77" s="14">
        <v>328935.18518518517</v>
      </c>
      <c r="H77" s="15">
        <v>437483.79629629629</v>
      </c>
      <c r="I77" s="16">
        <v>0.08</v>
      </c>
      <c r="J77" s="17">
        <v>34999</v>
      </c>
      <c r="K77" s="17">
        <v>472482.79629629629</v>
      </c>
      <c r="L77" s="18"/>
    </row>
    <row r="78" spans="1:12" ht="15.5" x14ac:dyDescent="0.3">
      <c r="A78" s="56" t="s">
        <v>42</v>
      </c>
      <c r="B78" s="57" t="s">
        <v>135</v>
      </c>
      <c r="C78" s="60">
        <v>0.33329999999999999</v>
      </c>
      <c r="D78" s="61" t="s">
        <v>105</v>
      </c>
      <c r="E78" s="13"/>
      <c r="F78" s="13"/>
      <c r="G78" s="14">
        <v>3355138.888888889</v>
      </c>
      <c r="H78" s="15">
        <v>1118267.7916666667</v>
      </c>
      <c r="I78" s="16">
        <v>0.08</v>
      </c>
      <c r="J78" s="17">
        <v>89461</v>
      </c>
      <c r="K78" s="17">
        <v>1207728.7916666667</v>
      </c>
      <c r="L78" s="18"/>
    </row>
    <row r="79" spans="1:12" ht="15.5" x14ac:dyDescent="0.3">
      <c r="A79" s="53" t="s">
        <v>136</v>
      </c>
      <c r="B79" s="54" t="s">
        <v>137</v>
      </c>
      <c r="C79" s="60"/>
      <c r="D79" s="61"/>
      <c r="E79" s="13"/>
      <c r="F79" s="13"/>
      <c r="G79" s="14">
        <v>0</v>
      </c>
      <c r="H79" s="15"/>
      <c r="I79" s="16"/>
      <c r="J79" s="17"/>
      <c r="K79" s="17"/>
      <c r="L79" s="18"/>
    </row>
    <row r="80" spans="1:12" ht="15.5" x14ac:dyDescent="0.3">
      <c r="A80" s="56" t="s">
        <v>26</v>
      </c>
      <c r="B80" s="57" t="s">
        <v>138</v>
      </c>
      <c r="C80" s="60">
        <v>1</v>
      </c>
      <c r="D80" s="61" t="s">
        <v>20</v>
      </c>
      <c r="E80" s="13"/>
      <c r="F80" s="13"/>
      <c r="G80" s="14">
        <v>855231.48148148146</v>
      </c>
      <c r="H80" s="15">
        <v>855231.48148148146</v>
      </c>
      <c r="I80" s="16">
        <v>0.08</v>
      </c>
      <c r="J80" s="17">
        <v>68419</v>
      </c>
      <c r="K80" s="17">
        <v>923650.48148148146</v>
      </c>
      <c r="L80" s="18"/>
    </row>
    <row r="81" spans="1:12" ht="15.5" x14ac:dyDescent="0.3">
      <c r="A81" s="56" t="s">
        <v>28</v>
      </c>
      <c r="B81" s="57" t="s">
        <v>139</v>
      </c>
      <c r="C81" s="60">
        <v>5</v>
      </c>
      <c r="D81" s="61" t="s">
        <v>20</v>
      </c>
      <c r="E81" s="13"/>
      <c r="F81" s="13"/>
      <c r="G81" s="14">
        <v>3345928.7037037034</v>
      </c>
      <c r="H81" s="15">
        <v>16729643.518518517</v>
      </c>
      <c r="I81" s="16">
        <v>0.08</v>
      </c>
      <c r="J81" s="17">
        <v>1338371</v>
      </c>
      <c r="K81" s="17">
        <v>18068014.518518515</v>
      </c>
      <c r="L81" s="18"/>
    </row>
    <row r="82" spans="1:12" ht="15.5" x14ac:dyDescent="0.3">
      <c r="A82" s="56" t="s">
        <v>30</v>
      </c>
      <c r="B82" s="57" t="s">
        <v>140</v>
      </c>
      <c r="C82" s="60">
        <v>1</v>
      </c>
      <c r="D82" s="61" t="s">
        <v>20</v>
      </c>
      <c r="E82" s="13"/>
      <c r="F82" s="13"/>
      <c r="G82" s="14">
        <v>2789370.3703703703</v>
      </c>
      <c r="H82" s="15">
        <v>2789370.3703703703</v>
      </c>
      <c r="I82" s="16">
        <v>0.08</v>
      </c>
      <c r="J82" s="17">
        <v>223150</v>
      </c>
      <c r="K82" s="17">
        <v>3012520.3703703703</v>
      </c>
      <c r="L82" s="18"/>
    </row>
    <row r="83" spans="1:12" ht="15.5" x14ac:dyDescent="0.3">
      <c r="A83" s="56" t="s">
        <v>32</v>
      </c>
      <c r="B83" s="57" t="s">
        <v>141</v>
      </c>
      <c r="C83" s="60">
        <v>2</v>
      </c>
      <c r="D83" s="61" t="s">
        <v>20</v>
      </c>
      <c r="E83" s="13"/>
      <c r="F83" s="13"/>
      <c r="G83" s="14">
        <v>2818316.6666666665</v>
      </c>
      <c r="H83" s="15">
        <v>5636633.333333333</v>
      </c>
      <c r="I83" s="16">
        <v>0.08</v>
      </c>
      <c r="J83" s="17">
        <v>450931</v>
      </c>
      <c r="K83" s="17">
        <v>6087564.333333333</v>
      </c>
      <c r="L83" s="18"/>
    </row>
    <row r="84" spans="1:12" ht="15.5" x14ac:dyDescent="0.3">
      <c r="A84" s="56" t="s">
        <v>42</v>
      </c>
      <c r="B84" s="57" t="s">
        <v>142</v>
      </c>
      <c r="C84" s="60">
        <v>1</v>
      </c>
      <c r="D84" s="61" t="s">
        <v>20</v>
      </c>
      <c r="E84" s="13"/>
      <c r="F84" s="13"/>
      <c r="G84" s="14">
        <v>12894259.259259259</v>
      </c>
      <c r="H84" s="15">
        <v>12894259.259259259</v>
      </c>
      <c r="I84" s="16">
        <v>0.08</v>
      </c>
      <c r="J84" s="17">
        <v>1031541</v>
      </c>
      <c r="K84" s="17">
        <v>13925800.259259259</v>
      </c>
      <c r="L84" s="18"/>
    </row>
    <row r="85" spans="1:12" ht="15.5" x14ac:dyDescent="0.3">
      <c r="A85" s="56" t="s">
        <v>45</v>
      </c>
      <c r="B85" s="57" t="s">
        <v>143</v>
      </c>
      <c r="C85" s="60">
        <v>1</v>
      </c>
      <c r="D85" s="61" t="s">
        <v>20</v>
      </c>
      <c r="E85" s="13"/>
      <c r="F85" s="13"/>
      <c r="G85" s="14">
        <v>2078870.3703703703</v>
      </c>
      <c r="H85" s="15">
        <v>2078870.3703703703</v>
      </c>
      <c r="I85" s="16">
        <v>0.08</v>
      </c>
      <c r="J85" s="17">
        <v>166310</v>
      </c>
      <c r="K85" s="17">
        <v>2245180.3703703703</v>
      </c>
      <c r="L85" s="18"/>
    </row>
    <row r="86" spans="1:12" ht="15.5" x14ac:dyDescent="0.3">
      <c r="A86" s="56" t="s">
        <v>47</v>
      </c>
      <c r="B86" s="57" t="s">
        <v>144</v>
      </c>
      <c r="C86" s="60">
        <v>4</v>
      </c>
      <c r="D86" s="61" t="s">
        <v>20</v>
      </c>
      <c r="E86" s="13"/>
      <c r="F86" s="13"/>
      <c r="G86" s="14">
        <v>947333.33333333326</v>
      </c>
      <c r="H86" s="15">
        <v>3789333.333333333</v>
      </c>
      <c r="I86" s="16">
        <v>0.08</v>
      </c>
      <c r="J86" s="17">
        <v>303147</v>
      </c>
      <c r="K86" s="17">
        <v>4092480.333333333</v>
      </c>
      <c r="L86" s="18"/>
    </row>
    <row r="87" spans="1:12" ht="15.5" x14ac:dyDescent="0.3">
      <c r="A87" s="56" t="s">
        <v>50</v>
      </c>
      <c r="B87" s="57" t="s">
        <v>145</v>
      </c>
      <c r="C87" s="60">
        <v>15</v>
      </c>
      <c r="D87" s="61" t="s">
        <v>52</v>
      </c>
      <c r="E87" s="13"/>
      <c r="F87" s="13"/>
      <c r="G87" s="14">
        <v>421037.03703703702</v>
      </c>
      <c r="H87" s="15">
        <v>6315555.555555555</v>
      </c>
      <c r="I87" s="16">
        <v>0.08</v>
      </c>
      <c r="J87" s="17">
        <v>505244</v>
      </c>
      <c r="K87" s="17">
        <v>6820799.555555555</v>
      </c>
      <c r="L87" s="18"/>
    </row>
    <row r="88" spans="1:12" ht="15.5" x14ac:dyDescent="0.3">
      <c r="A88" s="56" t="s">
        <v>53</v>
      </c>
      <c r="B88" s="57" t="s">
        <v>146</v>
      </c>
      <c r="C88" s="60">
        <v>11</v>
      </c>
      <c r="D88" s="61" t="s">
        <v>52</v>
      </c>
      <c r="E88" s="13"/>
      <c r="F88" s="13"/>
      <c r="G88" s="14">
        <v>368407.40740740736</v>
      </c>
      <c r="H88" s="15">
        <v>4052481.4814814809</v>
      </c>
      <c r="I88" s="16">
        <v>0.08</v>
      </c>
      <c r="J88" s="17">
        <v>324199</v>
      </c>
      <c r="K88" s="17">
        <v>4376680.4814814813</v>
      </c>
      <c r="L88" s="18"/>
    </row>
    <row r="89" spans="1:12" ht="15.5" x14ac:dyDescent="0.3">
      <c r="A89" s="56" t="s">
        <v>55</v>
      </c>
      <c r="B89" s="57" t="s">
        <v>147</v>
      </c>
      <c r="C89" s="60">
        <v>5</v>
      </c>
      <c r="D89" s="61" t="s">
        <v>20</v>
      </c>
      <c r="E89" s="13"/>
      <c r="F89" s="13"/>
      <c r="G89" s="14">
        <v>249990.74074074073</v>
      </c>
      <c r="H89" s="15">
        <v>1249953.7037037036</v>
      </c>
      <c r="I89" s="16">
        <v>0.08</v>
      </c>
      <c r="J89" s="17">
        <v>99996</v>
      </c>
      <c r="K89" s="17">
        <v>1349949.7037037036</v>
      </c>
      <c r="L89" s="18"/>
    </row>
    <row r="90" spans="1:12" ht="15.5" x14ac:dyDescent="0.3">
      <c r="A90" s="56" t="s">
        <v>57</v>
      </c>
      <c r="B90" s="57" t="s">
        <v>148</v>
      </c>
      <c r="C90" s="60">
        <v>6</v>
      </c>
      <c r="D90" s="61" t="s">
        <v>20</v>
      </c>
      <c r="E90" s="13"/>
      <c r="F90" s="13"/>
      <c r="G90" s="14">
        <v>140784.25925925924</v>
      </c>
      <c r="H90" s="15">
        <v>844705.5555555555</v>
      </c>
      <c r="I90" s="16">
        <v>0.08</v>
      </c>
      <c r="J90" s="17">
        <v>67576</v>
      </c>
      <c r="K90" s="17">
        <v>912281.5555555555</v>
      </c>
      <c r="L90" s="18"/>
    </row>
    <row r="91" spans="1:12" ht="15.5" x14ac:dyDescent="0.3">
      <c r="A91" s="56" t="s">
        <v>59</v>
      </c>
      <c r="B91" s="57" t="s">
        <v>149</v>
      </c>
      <c r="C91" s="60">
        <v>3</v>
      </c>
      <c r="D91" s="61" t="s">
        <v>20</v>
      </c>
      <c r="E91" s="13"/>
      <c r="F91" s="13"/>
      <c r="G91" s="14">
        <v>319725</v>
      </c>
      <c r="H91" s="15">
        <v>959175</v>
      </c>
      <c r="I91" s="16">
        <v>0.08</v>
      </c>
      <c r="J91" s="17">
        <v>76734</v>
      </c>
      <c r="K91" s="17">
        <v>1035909</v>
      </c>
      <c r="L91" s="18"/>
    </row>
    <row r="92" spans="1:12" ht="15.5" x14ac:dyDescent="0.3">
      <c r="A92" s="56" t="s">
        <v>61</v>
      </c>
      <c r="B92" s="57" t="s">
        <v>150</v>
      </c>
      <c r="C92" s="60">
        <v>2</v>
      </c>
      <c r="D92" s="61" t="s">
        <v>20</v>
      </c>
      <c r="E92" s="13"/>
      <c r="F92" s="13"/>
      <c r="G92" s="14">
        <v>217097.22222222219</v>
      </c>
      <c r="H92" s="15">
        <v>434194.44444444438</v>
      </c>
      <c r="I92" s="16">
        <v>0.08</v>
      </c>
      <c r="J92" s="17">
        <v>34736</v>
      </c>
      <c r="K92" s="17">
        <v>468930.44444444438</v>
      </c>
      <c r="L92" s="18"/>
    </row>
    <row r="93" spans="1:12" ht="15.5" x14ac:dyDescent="0.3">
      <c r="A93" s="56" t="s">
        <v>63</v>
      </c>
      <c r="B93" s="57" t="s">
        <v>151</v>
      </c>
      <c r="C93" s="60">
        <v>1</v>
      </c>
      <c r="D93" s="61" t="s">
        <v>20</v>
      </c>
      <c r="E93" s="13"/>
      <c r="F93" s="13"/>
      <c r="G93" s="14">
        <v>197361.11111111109</v>
      </c>
      <c r="H93" s="15">
        <v>197361.11111111109</v>
      </c>
      <c r="I93" s="16">
        <v>0.08</v>
      </c>
      <c r="J93" s="17">
        <v>15789</v>
      </c>
      <c r="K93" s="17">
        <v>213150.11111111109</v>
      </c>
      <c r="L93" s="18"/>
    </row>
    <row r="94" spans="1:12" ht="15.5" x14ac:dyDescent="0.3">
      <c r="A94" s="56" t="s">
        <v>65</v>
      </c>
      <c r="B94" s="57" t="s">
        <v>152</v>
      </c>
      <c r="C94" s="60">
        <v>6</v>
      </c>
      <c r="D94" s="61" t="s">
        <v>122</v>
      </c>
      <c r="E94" s="13"/>
      <c r="F94" s="13"/>
      <c r="G94" s="14">
        <v>263148.14814814809</v>
      </c>
      <c r="H94" s="15">
        <v>1578888.8888888885</v>
      </c>
      <c r="I94" s="16">
        <v>0.08</v>
      </c>
      <c r="J94" s="17">
        <v>126311</v>
      </c>
      <c r="K94" s="17">
        <v>1705199.8888888885</v>
      </c>
      <c r="L94" s="18"/>
    </row>
    <row r="95" spans="1:12" ht="15.5" x14ac:dyDescent="0.3">
      <c r="A95" s="56" t="s">
        <v>67</v>
      </c>
      <c r="B95" s="57" t="s">
        <v>153</v>
      </c>
      <c r="C95" s="60">
        <v>2</v>
      </c>
      <c r="D95" s="61" t="s">
        <v>122</v>
      </c>
      <c r="E95" s="13"/>
      <c r="F95" s="13"/>
      <c r="G95" s="14">
        <v>236833.33333333331</v>
      </c>
      <c r="H95" s="15">
        <v>473666.66666666663</v>
      </c>
      <c r="I95" s="16">
        <v>0.08</v>
      </c>
      <c r="J95" s="17">
        <v>37893</v>
      </c>
      <c r="K95" s="17">
        <v>511559.66666666663</v>
      </c>
      <c r="L95" s="18"/>
    </row>
    <row r="96" spans="1:12" ht="15.5" x14ac:dyDescent="0.3">
      <c r="A96" s="56" t="s">
        <v>69</v>
      </c>
      <c r="B96" s="57" t="s">
        <v>154</v>
      </c>
      <c r="C96" s="60">
        <v>1</v>
      </c>
      <c r="D96" s="61" t="s">
        <v>18</v>
      </c>
      <c r="E96" s="13"/>
      <c r="F96" s="13"/>
      <c r="G96" s="14">
        <v>7236574.0740740728</v>
      </c>
      <c r="H96" s="15">
        <v>7236574.0740740728</v>
      </c>
      <c r="I96" s="16">
        <v>0.08</v>
      </c>
      <c r="J96" s="17">
        <v>578926</v>
      </c>
      <c r="K96" s="17">
        <v>7815500.0740740728</v>
      </c>
      <c r="L96" s="18"/>
    </row>
    <row r="97" spans="1:12" ht="15.5" x14ac:dyDescent="0.3">
      <c r="A97" s="56" t="s">
        <v>72</v>
      </c>
      <c r="B97" s="57" t="s">
        <v>155</v>
      </c>
      <c r="C97" s="60">
        <v>1</v>
      </c>
      <c r="D97" s="61" t="s">
        <v>18</v>
      </c>
      <c r="E97" s="13"/>
      <c r="F97" s="13"/>
      <c r="G97" s="14">
        <v>1973611.111111111</v>
      </c>
      <c r="H97" s="15">
        <v>1973611.111111111</v>
      </c>
      <c r="I97" s="16">
        <v>0.08</v>
      </c>
      <c r="J97" s="17">
        <v>157889</v>
      </c>
      <c r="K97" s="17">
        <v>2131500.111111111</v>
      </c>
      <c r="L97" s="18"/>
    </row>
    <row r="98" spans="1:12" ht="15.5" x14ac:dyDescent="0.3">
      <c r="A98" s="56" t="s">
        <v>74</v>
      </c>
      <c r="B98" s="57" t="s">
        <v>156</v>
      </c>
      <c r="C98" s="60">
        <v>1</v>
      </c>
      <c r="D98" s="61" t="s">
        <v>18</v>
      </c>
      <c r="E98" s="13"/>
      <c r="F98" s="13"/>
      <c r="G98" s="14">
        <v>2368333.333333333</v>
      </c>
      <c r="H98" s="15">
        <v>2368333.333333333</v>
      </c>
      <c r="I98" s="16">
        <v>0.08</v>
      </c>
      <c r="J98" s="17">
        <v>189467</v>
      </c>
      <c r="K98" s="17">
        <v>2557800.333333333</v>
      </c>
      <c r="L98" s="18"/>
    </row>
    <row r="99" spans="1:12" ht="15.5" x14ac:dyDescent="0.3">
      <c r="A99" s="56" t="s">
        <v>77</v>
      </c>
      <c r="B99" s="57" t="s">
        <v>157</v>
      </c>
      <c r="C99" s="60">
        <v>1</v>
      </c>
      <c r="D99" s="61" t="s">
        <v>18</v>
      </c>
      <c r="E99" s="13"/>
      <c r="F99" s="13"/>
      <c r="G99" s="14">
        <v>1118379.6296296294</v>
      </c>
      <c r="H99" s="15">
        <v>1118379.6296296294</v>
      </c>
      <c r="I99" s="16">
        <v>0.08</v>
      </c>
      <c r="J99" s="17">
        <v>89470</v>
      </c>
      <c r="K99" s="17">
        <v>1207849.6296296294</v>
      </c>
      <c r="L99" s="18"/>
    </row>
    <row r="100" spans="1:12" ht="15.5" x14ac:dyDescent="0.3">
      <c r="A100" s="56" t="s">
        <v>79</v>
      </c>
      <c r="B100" s="57" t="s">
        <v>158</v>
      </c>
      <c r="C100" s="60">
        <v>1</v>
      </c>
      <c r="D100" s="61" t="s">
        <v>18</v>
      </c>
      <c r="E100" s="13"/>
      <c r="F100" s="13"/>
      <c r="G100" s="14">
        <v>855231.48148148146</v>
      </c>
      <c r="H100" s="15">
        <v>855231.48148148146</v>
      </c>
      <c r="I100" s="16">
        <v>0.08</v>
      </c>
      <c r="J100" s="17">
        <v>68419</v>
      </c>
      <c r="K100" s="17">
        <v>923650.48148148146</v>
      </c>
      <c r="L100" s="18"/>
    </row>
    <row r="101" spans="1:12" ht="15.5" x14ac:dyDescent="0.3">
      <c r="A101" s="56" t="s">
        <v>81</v>
      </c>
      <c r="B101" s="57" t="s">
        <v>159</v>
      </c>
      <c r="C101" s="60">
        <v>1</v>
      </c>
      <c r="D101" s="61" t="s">
        <v>18</v>
      </c>
      <c r="E101" s="13"/>
      <c r="F101" s="13"/>
      <c r="G101" s="14">
        <v>4605092.5925925924</v>
      </c>
      <c r="H101" s="15">
        <v>4605092.5925925924</v>
      </c>
      <c r="I101" s="16">
        <v>0.08</v>
      </c>
      <c r="J101" s="17">
        <v>368407</v>
      </c>
      <c r="K101" s="17">
        <v>4973499.5925925924</v>
      </c>
      <c r="L101" s="18"/>
    </row>
    <row r="102" spans="1:12" ht="15.5" x14ac:dyDescent="0.3">
      <c r="A102" s="56" t="s">
        <v>83</v>
      </c>
      <c r="B102" s="57" t="s">
        <v>160</v>
      </c>
      <c r="C102" s="60">
        <v>0.3</v>
      </c>
      <c r="D102" s="61" t="s">
        <v>161</v>
      </c>
      <c r="E102" s="13"/>
      <c r="F102" s="13"/>
      <c r="G102" s="14">
        <v>23683.333333333332</v>
      </c>
      <c r="H102" s="15">
        <v>7104.9999999999991</v>
      </c>
      <c r="I102" s="16">
        <v>0.08</v>
      </c>
      <c r="J102" s="17">
        <v>568</v>
      </c>
      <c r="K102" s="17">
        <v>7672.9999999999991</v>
      </c>
      <c r="L102" s="18"/>
    </row>
    <row r="103" spans="1:12" ht="15.5" x14ac:dyDescent="0.3">
      <c r="A103" s="56" t="s">
        <v>86</v>
      </c>
      <c r="B103" s="57" t="s">
        <v>162</v>
      </c>
      <c r="C103" s="60">
        <v>50</v>
      </c>
      <c r="D103" s="61" t="s">
        <v>52</v>
      </c>
      <c r="E103" s="13"/>
      <c r="F103" s="13"/>
      <c r="G103" s="14">
        <v>276305.55555555556</v>
      </c>
      <c r="H103" s="15">
        <v>13815277.777777778</v>
      </c>
      <c r="I103" s="16">
        <v>0.08</v>
      </c>
      <c r="J103" s="17">
        <v>1105222</v>
      </c>
      <c r="K103" s="17">
        <v>14920499.777777778</v>
      </c>
      <c r="L103" s="18"/>
    </row>
    <row r="104" spans="1:12" ht="15.5" x14ac:dyDescent="0.3">
      <c r="A104" s="56" t="s">
        <v>89</v>
      </c>
      <c r="B104" s="57" t="s">
        <v>163</v>
      </c>
      <c r="C104" s="60">
        <v>60</v>
      </c>
      <c r="D104" s="61" t="s">
        <v>52</v>
      </c>
      <c r="E104" s="13"/>
      <c r="F104" s="13"/>
      <c r="G104" s="14">
        <v>559189.81481481472</v>
      </c>
      <c r="H104" s="15">
        <v>33551388.888888884</v>
      </c>
      <c r="I104" s="16">
        <v>0.08</v>
      </c>
      <c r="J104" s="17">
        <v>2684111</v>
      </c>
      <c r="K104" s="17">
        <v>36235499.888888881</v>
      </c>
      <c r="L104" s="18"/>
    </row>
    <row r="105" spans="1:12" ht="15.5" x14ac:dyDescent="0.3">
      <c r="A105" s="53" t="s">
        <v>164</v>
      </c>
      <c r="B105" s="54" t="s">
        <v>165</v>
      </c>
      <c r="C105" s="60"/>
      <c r="D105" s="61"/>
      <c r="E105" s="13"/>
      <c r="F105" s="13"/>
      <c r="G105" s="14">
        <v>0</v>
      </c>
      <c r="H105" s="15"/>
      <c r="I105" s="16"/>
      <c r="J105" s="17"/>
      <c r="K105" s="17"/>
      <c r="L105" s="18"/>
    </row>
    <row r="106" spans="1:12" ht="15.5" x14ac:dyDescent="0.3">
      <c r="A106" s="56" t="s">
        <v>26</v>
      </c>
      <c r="B106" s="57" t="s">
        <v>166</v>
      </c>
      <c r="C106" s="60">
        <v>1.2</v>
      </c>
      <c r="D106" s="61" t="s">
        <v>161</v>
      </c>
      <c r="E106" s="13"/>
      <c r="F106" s="13"/>
      <c r="G106" s="14">
        <v>36659259.259259254</v>
      </c>
      <c r="H106" s="15">
        <v>43991111.111111104</v>
      </c>
      <c r="I106" s="16">
        <v>0.08</v>
      </c>
      <c r="J106" s="17">
        <v>3519289</v>
      </c>
      <c r="K106" s="17">
        <v>47510400.111111104</v>
      </c>
      <c r="L106" s="18"/>
    </row>
    <row r="107" spans="1:12" ht="15.5" x14ac:dyDescent="0.3">
      <c r="A107" s="56" t="s">
        <v>28</v>
      </c>
      <c r="B107" s="57" t="s">
        <v>167</v>
      </c>
      <c r="C107" s="60">
        <v>8</v>
      </c>
      <c r="D107" s="61" t="s">
        <v>20</v>
      </c>
      <c r="E107" s="13"/>
      <c r="F107" s="13"/>
      <c r="G107" s="14">
        <v>249990.74074074073</v>
      </c>
      <c r="H107" s="15">
        <v>1999925.9259259258</v>
      </c>
      <c r="I107" s="16">
        <v>0.08</v>
      </c>
      <c r="J107" s="17">
        <v>159994</v>
      </c>
      <c r="K107" s="17">
        <v>2159919.9259259258</v>
      </c>
      <c r="L107" s="18"/>
    </row>
    <row r="108" spans="1:12" ht="15.5" x14ac:dyDescent="0.3">
      <c r="A108" s="56" t="s">
        <v>30</v>
      </c>
      <c r="B108" s="57" t="s">
        <v>149</v>
      </c>
      <c r="C108" s="60">
        <v>1</v>
      </c>
      <c r="D108" s="61" t="s">
        <v>20</v>
      </c>
      <c r="E108" s="13"/>
      <c r="F108" s="13"/>
      <c r="G108" s="14">
        <v>319725</v>
      </c>
      <c r="H108" s="15">
        <v>319725</v>
      </c>
      <c r="I108" s="16">
        <v>0.08</v>
      </c>
      <c r="J108" s="17">
        <v>25578</v>
      </c>
      <c r="K108" s="17">
        <v>345303</v>
      </c>
      <c r="L108" s="18"/>
    </row>
    <row r="109" spans="1:12" ht="15.5" x14ac:dyDescent="0.3">
      <c r="A109" s="56" t="s">
        <v>32</v>
      </c>
      <c r="B109" s="57" t="s">
        <v>168</v>
      </c>
      <c r="C109" s="60">
        <v>5</v>
      </c>
      <c r="D109" s="61" t="s">
        <v>122</v>
      </c>
      <c r="E109" s="13"/>
      <c r="F109" s="13"/>
      <c r="G109" s="14">
        <v>263148.14814814809</v>
      </c>
      <c r="H109" s="15">
        <v>1315740.7407407404</v>
      </c>
      <c r="I109" s="16">
        <v>0.08</v>
      </c>
      <c r="J109" s="17">
        <v>105259</v>
      </c>
      <c r="K109" s="17">
        <v>1420999.7407407404</v>
      </c>
      <c r="L109" s="18"/>
    </row>
    <row r="110" spans="1:12" ht="15.5" x14ac:dyDescent="0.3">
      <c r="A110" s="56" t="s">
        <v>42</v>
      </c>
      <c r="B110" s="57" t="s">
        <v>169</v>
      </c>
      <c r="C110" s="60">
        <v>1</v>
      </c>
      <c r="D110" s="61" t="s">
        <v>20</v>
      </c>
      <c r="E110" s="13"/>
      <c r="F110" s="13"/>
      <c r="G110" s="14">
        <v>3345928.7037037034</v>
      </c>
      <c r="H110" s="15">
        <v>3345928.7037037034</v>
      </c>
      <c r="I110" s="16">
        <v>0.08</v>
      </c>
      <c r="J110" s="17">
        <v>267674</v>
      </c>
      <c r="K110" s="17">
        <v>3613602.7037037034</v>
      </c>
      <c r="L110" s="18"/>
    </row>
    <row r="111" spans="1:12" ht="31" x14ac:dyDescent="0.3">
      <c r="A111" s="56" t="s">
        <v>45</v>
      </c>
      <c r="B111" s="57" t="s">
        <v>170</v>
      </c>
      <c r="C111" s="60">
        <v>2</v>
      </c>
      <c r="D111" s="61" t="s">
        <v>17</v>
      </c>
      <c r="E111" s="13"/>
      <c r="F111" s="13"/>
      <c r="G111" s="14">
        <v>5907222.2222222211</v>
      </c>
      <c r="H111" s="15">
        <v>11814444.444444442</v>
      </c>
      <c r="I111" s="16">
        <v>0.08</v>
      </c>
      <c r="J111" s="17">
        <v>945156</v>
      </c>
      <c r="K111" s="17">
        <v>12759600.444444442</v>
      </c>
      <c r="L111" s="18"/>
    </row>
    <row r="112" spans="1:12" ht="15.5" x14ac:dyDescent="0.3">
      <c r="A112" s="56" t="s">
        <v>47</v>
      </c>
      <c r="B112" s="57" t="s">
        <v>171</v>
      </c>
      <c r="C112" s="60">
        <v>3</v>
      </c>
      <c r="D112" s="61" t="s">
        <v>17</v>
      </c>
      <c r="E112" s="13"/>
      <c r="F112" s="13"/>
      <c r="G112" s="14">
        <v>11288148.148148147</v>
      </c>
      <c r="H112" s="15">
        <v>33864444.44444444</v>
      </c>
      <c r="I112" s="16">
        <v>0.08</v>
      </c>
      <c r="J112" s="17">
        <v>2709156</v>
      </c>
      <c r="K112" s="17">
        <v>36573600.44444444</v>
      </c>
      <c r="L112" s="18"/>
    </row>
    <row r="113" spans="1:12" ht="15.5" x14ac:dyDescent="0.3">
      <c r="A113" s="56" t="s">
        <v>50</v>
      </c>
      <c r="B113" s="57" t="s">
        <v>172</v>
      </c>
      <c r="C113" s="60">
        <v>1</v>
      </c>
      <c r="D113" s="61" t="s">
        <v>18</v>
      </c>
      <c r="E113" s="13"/>
      <c r="F113" s="13"/>
      <c r="G113" s="14">
        <v>11274537.037037035</v>
      </c>
      <c r="H113" s="15">
        <v>11274537.037037035</v>
      </c>
      <c r="I113" s="16">
        <v>0.08</v>
      </c>
      <c r="J113" s="17">
        <v>901963</v>
      </c>
      <c r="K113" s="17">
        <v>12176500.037037035</v>
      </c>
      <c r="L113" s="18"/>
    </row>
    <row r="114" spans="1:12" ht="15.5" x14ac:dyDescent="0.3">
      <c r="A114" s="56" t="s">
        <v>53</v>
      </c>
      <c r="B114" s="57" t="s">
        <v>155</v>
      </c>
      <c r="C114" s="60">
        <v>1</v>
      </c>
      <c r="D114" s="61" t="s">
        <v>18</v>
      </c>
      <c r="E114" s="13"/>
      <c r="F114" s="13"/>
      <c r="G114" s="14">
        <v>3289351.8518518517</v>
      </c>
      <c r="H114" s="15">
        <v>3289351.8518518517</v>
      </c>
      <c r="I114" s="16">
        <v>0.08</v>
      </c>
      <c r="J114" s="17">
        <v>263148</v>
      </c>
      <c r="K114" s="17">
        <v>3552499.8518518517</v>
      </c>
      <c r="L114" s="18"/>
    </row>
    <row r="115" spans="1:12" ht="15.5" x14ac:dyDescent="0.3">
      <c r="A115" s="56" t="s">
        <v>55</v>
      </c>
      <c r="B115" s="57" t="s">
        <v>173</v>
      </c>
      <c r="C115" s="60">
        <v>10</v>
      </c>
      <c r="D115" s="61" t="s">
        <v>52</v>
      </c>
      <c r="E115" s="13"/>
      <c r="F115" s="13"/>
      <c r="G115" s="14">
        <v>855231.48148148146</v>
      </c>
      <c r="H115" s="15">
        <v>8552314.8148148153</v>
      </c>
      <c r="I115" s="16">
        <v>0.08</v>
      </c>
      <c r="J115" s="17">
        <v>684185</v>
      </c>
      <c r="K115" s="17">
        <v>9236499.8148148153</v>
      </c>
      <c r="L115" s="18"/>
    </row>
    <row r="116" spans="1:12" ht="15.5" x14ac:dyDescent="0.3">
      <c r="A116" s="56" t="s">
        <v>57</v>
      </c>
      <c r="B116" s="57" t="s">
        <v>174</v>
      </c>
      <c r="C116" s="60">
        <v>0.3</v>
      </c>
      <c r="D116" s="61" t="s">
        <v>175</v>
      </c>
      <c r="E116" s="13"/>
      <c r="F116" s="13"/>
      <c r="G116" s="14">
        <v>46050.92592592592</v>
      </c>
      <c r="H116" s="15">
        <v>13815.277777777776</v>
      </c>
      <c r="I116" s="16">
        <v>0.08</v>
      </c>
      <c r="J116" s="17">
        <v>1105</v>
      </c>
      <c r="K116" s="17">
        <v>14920.277777777776</v>
      </c>
      <c r="L116" s="18"/>
    </row>
    <row r="117" spans="1:12" ht="15.5" x14ac:dyDescent="0.3">
      <c r="A117" s="56" t="s">
        <v>59</v>
      </c>
      <c r="B117" s="57" t="s">
        <v>176</v>
      </c>
      <c r="C117" s="60">
        <v>3</v>
      </c>
      <c r="D117" s="61" t="s">
        <v>20</v>
      </c>
      <c r="E117" s="13"/>
      <c r="F117" s="13"/>
      <c r="G117" s="14">
        <v>328935.18518518517</v>
      </c>
      <c r="H117" s="15">
        <v>986805.5555555555</v>
      </c>
      <c r="I117" s="16">
        <v>0.08</v>
      </c>
      <c r="J117" s="17">
        <v>78944</v>
      </c>
      <c r="K117" s="17">
        <v>1065749.5555555555</v>
      </c>
      <c r="L117" s="18"/>
    </row>
    <row r="118" spans="1:12" ht="15.5" x14ac:dyDescent="0.3">
      <c r="A118" s="56" t="s">
        <v>61</v>
      </c>
      <c r="B118" s="57" t="s">
        <v>177</v>
      </c>
      <c r="C118" s="60">
        <v>1</v>
      </c>
      <c r="D118" s="61" t="s">
        <v>178</v>
      </c>
      <c r="E118" s="13"/>
      <c r="F118" s="13"/>
      <c r="G118" s="14">
        <v>113425925.92592591</v>
      </c>
      <c r="H118" s="15">
        <v>113425925.92592591</v>
      </c>
      <c r="I118" s="16">
        <v>0.08</v>
      </c>
      <c r="J118" s="17">
        <v>9074074</v>
      </c>
      <c r="K118" s="17">
        <v>122499999.92592591</v>
      </c>
      <c r="L118" s="18"/>
    </row>
    <row r="119" spans="1:12" ht="15.5" x14ac:dyDescent="0.3">
      <c r="A119" s="53" t="s">
        <v>179</v>
      </c>
      <c r="B119" s="54" t="s">
        <v>180</v>
      </c>
      <c r="C119" s="60"/>
      <c r="D119" s="61"/>
      <c r="E119" s="13"/>
      <c r="F119" s="13"/>
      <c r="G119" s="14">
        <v>0</v>
      </c>
      <c r="H119" s="15"/>
      <c r="I119" s="16"/>
      <c r="J119" s="17"/>
      <c r="K119" s="17"/>
      <c r="L119" s="18"/>
    </row>
    <row r="120" spans="1:12" ht="15.5" x14ac:dyDescent="0.3">
      <c r="A120" s="56" t="s">
        <v>26</v>
      </c>
      <c r="B120" s="57" t="s">
        <v>181</v>
      </c>
      <c r="C120" s="60">
        <v>0.70399999999999996</v>
      </c>
      <c r="D120" s="61" t="s">
        <v>105</v>
      </c>
      <c r="E120" s="13"/>
      <c r="F120" s="13"/>
      <c r="G120" s="14">
        <v>2960416.6666666665</v>
      </c>
      <c r="H120" s="15">
        <v>2084133.333333333</v>
      </c>
      <c r="I120" s="16">
        <v>0.08</v>
      </c>
      <c r="J120" s="17">
        <v>166731</v>
      </c>
      <c r="K120" s="17">
        <v>2250864.333333333</v>
      </c>
      <c r="L120" s="18"/>
    </row>
    <row r="121" spans="1:12" ht="15.5" x14ac:dyDescent="0.3">
      <c r="A121" s="56" t="s">
        <v>28</v>
      </c>
      <c r="B121" s="57" t="s">
        <v>182</v>
      </c>
      <c r="C121" s="60">
        <v>1.1299999999999999</v>
      </c>
      <c r="D121" s="61" t="s">
        <v>105</v>
      </c>
      <c r="E121" s="13"/>
      <c r="F121" s="13"/>
      <c r="G121" s="14">
        <v>3355138.888888889</v>
      </c>
      <c r="H121" s="15">
        <v>3791306.944444444</v>
      </c>
      <c r="I121" s="16">
        <v>0.08</v>
      </c>
      <c r="J121" s="17">
        <v>303305</v>
      </c>
      <c r="K121" s="17">
        <v>4094611.944444444</v>
      </c>
      <c r="L121" s="18"/>
    </row>
    <row r="122" spans="1:12" ht="15.5" x14ac:dyDescent="0.3">
      <c r="A122" s="56" t="s">
        <v>30</v>
      </c>
      <c r="B122" s="57" t="s">
        <v>183</v>
      </c>
      <c r="C122" s="60">
        <v>29.8</v>
      </c>
      <c r="D122" s="61" t="s">
        <v>76</v>
      </c>
      <c r="E122" s="13"/>
      <c r="F122" s="13"/>
      <c r="G122" s="14">
        <v>85523.148148148146</v>
      </c>
      <c r="H122" s="15">
        <v>2548589.8148148148</v>
      </c>
      <c r="I122" s="16">
        <v>0.08</v>
      </c>
      <c r="J122" s="17">
        <v>203887</v>
      </c>
      <c r="K122" s="17">
        <v>2752476.8148148148</v>
      </c>
      <c r="L122" s="18"/>
    </row>
    <row r="123" spans="1:12" ht="15.5" x14ac:dyDescent="0.3">
      <c r="A123" s="56" t="s">
        <v>32</v>
      </c>
      <c r="B123" s="57" t="s">
        <v>184</v>
      </c>
      <c r="C123" s="60">
        <v>1.1000000000000001</v>
      </c>
      <c r="D123" s="61" t="s">
        <v>52</v>
      </c>
      <c r="E123" s="13"/>
      <c r="F123" s="13"/>
      <c r="G123" s="14">
        <v>72365.74074074073</v>
      </c>
      <c r="H123" s="15">
        <v>79602.314814814803</v>
      </c>
      <c r="I123" s="16">
        <v>0.08</v>
      </c>
      <c r="J123" s="17">
        <v>6368</v>
      </c>
      <c r="K123" s="17">
        <v>85970.314814814803</v>
      </c>
      <c r="L123" s="18"/>
    </row>
    <row r="124" spans="1:12" ht="15.5" x14ac:dyDescent="0.3">
      <c r="A124" s="56" t="s">
        <v>42</v>
      </c>
      <c r="B124" s="57" t="s">
        <v>185</v>
      </c>
      <c r="C124" s="60">
        <v>2.9152999999999998</v>
      </c>
      <c r="D124" s="61" t="s">
        <v>111</v>
      </c>
      <c r="E124" s="13"/>
      <c r="F124" s="13"/>
      <c r="G124" s="14">
        <v>368407.40740740736</v>
      </c>
      <c r="H124" s="15">
        <v>1074018.1148148146</v>
      </c>
      <c r="I124" s="16">
        <v>0.08</v>
      </c>
      <c r="J124" s="17">
        <v>85921</v>
      </c>
      <c r="K124" s="17">
        <v>1159939.1148148146</v>
      </c>
      <c r="L124" s="18"/>
    </row>
    <row r="125" spans="1:12" ht="15.5" x14ac:dyDescent="0.3">
      <c r="A125" s="56" t="s">
        <v>45</v>
      </c>
      <c r="B125" s="57" t="s">
        <v>186</v>
      </c>
      <c r="C125" s="60">
        <v>6.51</v>
      </c>
      <c r="D125" s="61" t="s">
        <v>111</v>
      </c>
      <c r="E125" s="13"/>
      <c r="F125" s="13"/>
      <c r="G125" s="14">
        <v>236833.33333333331</v>
      </c>
      <c r="H125" s="15">
        <v>1541784.9999999998</v>
      </c>
      <c r="I125" s="16">
        <v>0.08</v>
      </c>
      <c r="J125" s="17">
        <v>123343</v>
      </c>
      <c r="K125" s="17">
        <v>1665127.9999999998</v>
      </c>
      <c r="L125" s="18"/>
    </row>
    <row r="126" spans="1:12" ht="15.5" x14ac:dyDescent="0.3">
      <c r="A126" s="56" t="s">
        <v>47</v>
      </c>
      <c r="B126" s="57" t="s">
        <v>187</v>
      </c>
      <c r="C126" s="60">
        <v>8</v>
      </c>
      <c r="D126" s="61" t="s">
        <v>17</v>
      </c>
      <c r="E126" s="13"/>
      <c r="F126" s="13"/>
      <c r="G126" s="14">
        <v>124995.37037037036</v>
      </c>
      <c r="H126" s="15">
        <v>999962.96296296292</v>
      </c>
      <c r="I126" s="16">
        <v>0.08</v>
      </c>
      <c r="J126" s="17">
        <v>79997</v>
      </c>
      <c r="K126" s="17">
        <v>1079959.9629629629</v>
      </c>
      <c r="L126" s="18"/>
    </row>
    <row r="127" spans="1:12" ht="30" x14ac:dyDescent="0.3">
      <c r="A127" s="53" t="s">
        <v>188</v>
      </c>
      <c r="B127" s="54" t="s">
        <v>189</v>
      </c>
      <c r="C127" s="62"/>
      <c r="D127" s="61"/>
      <c r="E127" s="13"/>
      <c r="F127" s="13"/>
      <c r="G127" s="14">
        <v>0</v>
      </c>
      <c r="H127" s="15"/>
      <c r="I127" s="16"/>
      <c r="J127" s="17"/>
      <c r="K127" s="17"/>
      <c r="L127" s="18"/>
    </row>
    <row r="128" spans="1:12" ht="15.5" x14ac:dyDescent="0.3">
      <c r="A128" s="56" t="s">
        <v>26</v>
      </c>
      <c r="B128" s="57" t="s">
        <v>190</v>
      </c>
      <c r="C128" s="62">
        <v>1</v>
      </c>
      <c r="D128" s="61" t="s">
        <v>17</v>
      </c>
      <c r="E128" s="13"/>
      <c r="F128" s="13"/>
      <c r="G128" s="14">
        <v>68055555.555555537</v>
      </c>
      <c r="H128" s="15">
        <v>68055555.555555537</v>
      </c>
      <c r="I128" s="16">
        <v>0.08</v>
      </c>
      <c r="J128" s="17">
        <v>5444444</v>
      </c>
      <c r="K128" s="17">
        <v>73499999.555555537</v>
      </c>
      <c r="L128" s="18"/>
    </row>
    <row r="129" spans="1:12" ht="15.5" x14ac:dyDescent="0.3">
      <c r="A129" s="56" t="s">
        <v>28</v>
      </c>
      <c r="B129" s="57" t="s">
        <v>191</v>
      </c>
      <c r="C129" s="62">
        <v>24</v>
      </c>
      <c r="D129" s="61" t="s">
        <v>192</v>
      </c>
      <c r="E129" s="13"/>
      <c r="F129" s="13"/>
      <c r="G129" s="14">
        <v>272222.22222222219</v>
      </c>
      <c r="H129" s="15">
        <v>6533333.3333333321</v>
      </c>
      <c r="I129" s="16">
        <v>0.08</v>
      </c>
      <c r="J129" s="17">
        <v>522667</v>
      </c>
      <c r="K129" s="17">
        <v>7056000.3333333321</v>
      </c>
      <c r="L129" s="18"/>
    </row>
    <row r="130" spans="1:12" ht="15.5" x14ac:dyDescent="0.3">
      <c r="A130" s="56" t="s">
        <v>30</v>
      </c>
      <c r="B130" s="57" t="s">
        <v>193</v>
      </c>
      <c r="C130" s="62">
        <v>100</v>
      </c>
      <c r="D130" s="61" t="s">
        <v>20</v>
      </c>
      <c r="E130" s="13"/>
      <c r="F130" s="13"/>
      <c r="G130" s="14">
        <v>90740.74074074073</v>
      </c>
      <c r="H130" s="15">
        <v>9074074.0740740728</v>
      </c>
      <c r="I130" s="16">
        <v>0.08</v>
      </c>
      <c r="J130" s="17">
        <v>725926</v>
      </c>
      <c r="K130" s="17">
        <v>9800000.0740740728</v>
      </c>
      <c r="L130" s="19"/>
    </row>
    <row r="131" spans="1:12" ht="15.5" x14ac:dyDescent="0.3">
      <c r="A131" s="56" t="s">
        <v>32</v>
      </c>
      <c r="B131" s="57" t="s">
        <v>194</v>
      </c>
      <c r="C131" s="62">
        <v>150</v>
      </c>
      <c r="D131" s="61" t="s">
        <v>20</v>
      </c>
      <c r="E131" s="13"/>
      <c r="F131" s="13"/>
      <c r="G131" s="14">
        <v>90740.74074074073</v>
      </c>
      <c r="H131" s="15">
        <v>13611111.11111111</v>
      </c>
      <c r="I131" s="16">
        <v>0.08</v>
      </c>
      <c r="J131" s="17">
        <v>1088889</v>
      </c>
      <c r="K131" s="17">
        <v>14700000.11111111</v>
      </c>
      <c r="L131" s="19"/>
    </row>
    <row r="132" spans="1:12" ht="15.5" x14ac:dyDescent="0.3">
      <c r="A132" s="56" t="s">
        <v>42</v>
      </c>
      <c r="B132" s="57" t="s">
        <v>195</v>
      </c>
      <c r="C132" s="62">
        <v>100</v>
      </c>
      <c r="D132" s="61" t="s">
        <v>52</v>
      </c>
      <c r="E132" s="20"/>
      <c r="F132" s="1"/>
      <c r="G132" s="14">
        <v>63518.518518518511</v>
      </c>
      <c r="H132" s="15">
        <v>6351851.8518518507</v>
      </c>
      <c r="I132" s="16">
        <v>0.08</v>
      </c>
      <c r="J132" s="17">
        <v>508148</v>
      </c>
      <c r="K132" s="17">
        <v>6859999.8518518507</v>
      </c>
      <c r="L132" s="21"/>
    </row>
    <row r="133" spans="1:12" ht="15.5" x14ac:dyDescent="0.3">
      <c r="A133" s="56" t="s">
        <v>45</v>
      </c>
      <c r="B133" s="57" t="s">
        <v>196</v>
      </c>
      <c r="C133" s="62">
        <v>20</v>
      </c>
      <c r="D133" s="61" t="s">
        <v>197</v>
      </c>
      <c r="E133" s="22"/>
      <c r="F133" s="1"/>
      <c r="G133" s="14">
        <v>408333.33333333331</v>
      </c>
      <c r="H133" s="15">
        <v>8166666.666666666</v>
      </c>
      <c r="I133" s="16">
        <v>0.08</v>
      </c>
      <c r="J133" s="17">
        <v>653333</v>
      </c>
      <c r="K133" s="17">
        <v>8819999.666666666</v>
      </c>
      <c r="L133" s="18"/>
    </row>
    <row r="134" spans="1:12" ht="15.5" x14ac:dyDescent="0.3">
      <c r="A134" s="56" t="s">
        <v>47</v>
      </c>
      <c r="B134" s="57" t="s">
        <v>198</v>
      </c>
      <c r="C134" s="62">
        <v>100</v>
      </c>
      <c r="D134" s="61" t="s">
        <v>52</v>
      </c>
      <c r="E134" s="23"/>
      <c r="F134" s="13"/>
      <c r="G134" s="14">
        <v>13611.111111111111</v>
      </c>
      <c r="H134" s="15">
        <v>1361111.1111111112</v>
      </c>
      <c r="I134" s="16">
        <v>0.08</v>
      </c>
      <c r="J134" s="17">
        <v>108889</v>
      </c>
      <c r="K134" s="17">
        <v>1470000.1111111112</v>
      </c>
      <c r="L134" s="21"/>
    </row>
    <row r="135" spans="1:12" ht="15.5" x14ac:dyDescent="0.3">
      <c r="A135" s="56" t="s">
        <v>50</v>
      </c>
      <c r="B135" s="57" t="s">
        <v>199</v>
      </c>
      <c r="C135" s="62">
        <v>60</v>
      </c>
      <c r="D135" s="61" t="s">
        <v>52</v>
      </c>
      <c r="E135" s="1"/>
      <c r="F135" s="13"/>
      <c r="G135" s="14">
        <v>40833.333333333328</v>
      </c>
      <c r="H135" s="15">
        <v>2449999.9999999995</v>
      </c>
      <c r="I135" s="16">
        <v>0.08</v>
      </c>
      <c r="J135" s="17">
        <v>196000</v>
      </c>
      <c r="K135" s="17">
        <v>2645999.9999999995</v>
      </c>
      <c r="L135" s="21"/>
    </row>
    <row r="136" spans="1:12" ht="31" x14ac:dyDescent="0.3">
      <c r="A136" s="56" t="s">
        <v>53</v>
      </c>
      <c r="B136" s="57" t="s">
        <v>200</v>
      </c>
      <c r="C136" s="62">
        <v>1</v>
      </c>
      <c r="D136" s="61" t="s">
        <v>201</v>
      </c>
      <c r="E136" s="22"/>
      <c r="F136" s="22"/>
      <c r="G136" s="14">
        <v>4537037.0370370373</v>
      </c>
      <c r="H136" s="15">
        <v>4537037.0370370373</v>
      </c>
      <c r="I136" s="16">
        <v>0.08</v>
      </c>
      <c r="J136" s="17">
        <v>362963</v>
      </c>
      <c r="K136" s="17">
        <v>4900000.0370370373</v>
      </c>
      <c r="L136" s="18"/>
    </row>
    <row r="137" spans="1:12" s="12" customFormat="1" ht="30" x14ac:dyDescent="0.3">
      <c r="A137" s="53" t="s">
        <v>202</v>
      </c>
      <c r="B137" s="54" t="s">
        <v>203</v>
      </c>
      <c r="C137" s="62"/>
      <c r="D137" s="61"/>
      <c r="E137" s="7"/>
      <c r="F137" s="7"/>
      <c r="G137" s="14">
        <v>0</v>
      </c>
      <c r="H137" s="15"/>
      <c r="I137" s="16"/>
      <c r="J137" s="17"/>
      <c r="K137" s="17"/>
      <c r="L137" s="11"/>
    </row>
    <row r="138" spans="1:12" ht="15.5" x14ac:dyDescent="0.3">
      <c r="A138" s="56" t="s">
        <v>26</v>
      </c>
      <c r="B138" s="63" t="s">
        <v>204</v>
      </c>
      <c r="C138" s="62">
        <v>1</v>
      </c>
      <c r="D138" s="61" t="s">
        <v>17</v>
      </c>
      <c r="E138" s="13"/>
      <c r="F138" s="13"/>
      <c r="G138" s="14">
        <v>213240740.74074072</v>
      </c>
      <c r="H138" s="15">
        <v>213240740.74074072</v>
      </c>
      <c r="I138" s="16">
        <v>0.08</v>
      </c>
      <c r="J138" s="17">
        <v>17059259</v>
      </c>
      <c r="K138" s="17">
        <v>230299999.74074072</v>
      </c>
      <c r="L138" s="21"/>
    </row>
    <row r="139" spans="1:12" ht="15.5" x14ac:dyDescent="0.3">
      <c r="A139" s="56" t="s">
        <v>28</v>
      </c>
      <c r="B139" s="63" t="s">
        <v>205</v>
      </c>
      <c r="C139" s="62">
        <v>300</v>
      </c>
      <c r="D139" s="61" t="s">
        <v>52</v>
      </c>
      <c r="E139" s="24"/>
      <c r="F139" s="13"/>
      <c r="G139" s="14">
        <v>13611.111111111111</v>
      </c>
      <c r="H139" s="15">
        <v>4083333.3333333335</v>
      </c>
      <c r="I139" s="16">
        <v>0.08</v>
      </c>
      <c r="J139" s="17">
        <v>326667</v>
      </c>
      <c r="K139" s="17">
        <v>4410000.333333334</v>
      </c>
      <c r="L139" s="19"/>
    </row>
    <row r="140" spans="1:12" ht="15.5" x14ac:dyDescent="0.3">
      <c r="A140" s="56" t="s">
        <v>30</v>
      </c>
      <c r="B140" s="63" t="s">
        <v>206</v>
      </c>
      <c r="C140" s="62">
        <v>11</v>
      </c>
      <c r="D140" s="61" t="s">
        <v>49</v>
      </c>
      <c r="E140" s="1"/>
      <c r="F140" s="13"/>
      <c r="G140" s="14">
        <v>453703.70370370365</v>
      </c>
      <c r="H140" s="15">
        <v>4990740.7407407397</v>
      </c>
      <c r="I140" s="16">
        <v>0.08</v>
      </c>
      <c r="J140" s="17">
        <v>399259</v>
      </c>
      <c r="K140" s="17">
        <v>5389999.7407407397</v>
      </c>
      <c r="L140" s="19"/>
    </row>
    <row r="141" spans="1:12" ht="31" x14ac:dyDescent="0.3">
      <c r="A141" s="56" t="s">
        <v>32</v>
      </c>
      <c r="B141" s="63" t="s">
        <v>207</v>
      </c>
      <c r="C141" s="62">
        <v>1</v>
      </c>
      <c r="D141" s="61" t="s">
        <v>201</v>
      </c>
      <c r="E141" s="1"/>
      <c r="F141" s="13"/>
      <c r="G141" s="14">
        <v>4537037.0370370373</v>
      </c>
      <c r="H141" s="15">
        <v>4537037.0370370373</v>
      </c>
      <c r="I141" s="16">
        <v>0.08</v>
      </c>
      <c r="J141" s="17">
        <v>362963</v>
      </c>
      <c r="K141" s="17">
        <v>4900000.0370370373</v>
      </c>
      <c r="L141" s="19"/>
    </row>
    <row r="142" spans="1:12" ht="30" x14ac:dyDescent="0.3">
      <c r="A142" s="53" t="s">
        <v>208</v>
      </c>
      <c r="B142" s="54" t="s">
        <v>209</v>
      </c>
      <c r="C142" s="62"/>
      <c r="D142" s="61"/>
      <c r="E142" s="1"/>
      <c r="F142" s="1"/>
      <c r="G142" s="14">
        <v>0</v>
      </c>
      <c r="H142" s="15"/>
      <c r="I142" s="16"/>
      <c r="J142" s="17"/>
      <c r="K142" s="17"/>
      <c r="L142" s="19"/>
    </row>
    <row r="143" spans="1:12" ht="15.5" x14ac:dyDescent="0.3">
      <c r="A143" s="56" t="s">
        <v>26</v>
      </c>
      <c r="B143" s="63" t="s">
        <v>210</v>
      </c>
      <c r="C143" s="62">
        <v>1</v>
      </c>
      <c r="D143" s="61" t="s">
        <v>49</v>
      </c>
      <c r="E143" s="24"/>
      <c r="F143" s="1"/>
      <c r="G143" s="14">
        <v>22685185.185185183</v>
      </c>
      <c r="H143" s="15">
        <v>22685185.185185183</v>
      </c>
      <c r="I143" s="16">
        <v>0.08</v>
      </c>
      <c r="J143" s="17">
        <v>1814815</v>
      </c>
      <c r="K143" s="17">
        <v>24500000.185185183</v>
      </c>
      <c r="L143" s="18"/>
    </row>
    <row r="144" spans="1:12" ht="62" x14ac:dyDescent="0.3">
      <c r="A144" s="56" t="s">
        <v>28</v>
      </c>
      <c r="B144" s="63" t="s">
        <v>211</v>
      </c>
      <c r="C144" s="62">
        <v>2</v>
      </c>
      <c r="D144" s="61" t="s">
        <v>71</v>
      </c>
      <c r="E144" s="24"/>
      <c r="F144" s="13"/>
      <c r="G144" s="14">
        <v>5898148.1481481474</v>
      </c>
      <c r="H144" s="15">
        <v>11796296.296296295</v>
      </c>
      <c r="I144" s="16">
        <v>0.08</v>
      </c>
      <c r="J144" s="17">
        <v>943704</v>
      </c>
      <c r="K144" s="17">
        <v>12740000.296296295</v>
      </c>
      <c r="L144" s="21"/>
    </row>
    <row r="145" spans="1:12" ht="15.5" x14ac:dyDescent="0.3">
      <c r="A145" s="56" t="s">
        <v>30</v>
      </c>
      <c r="B145" s="63" t="s">
        <v>212</v>
      </c>
      <c r="C145" s="62">
        <v>90</v>
      </c>
      <c r="D145" s="61" t="s">
        <v>52</v>
      </c>
      <c r="E145" s="1"/>
      <c r="F145" s="13"/>
      <c r="G145" s="14">
        <v>13611.111111111111</v>
      </c>
      <c r="H145" s="15">
        <v>1225000</v>
      </c>
      <c r="I145" s="16">
        <v>0.08</v>
      </c>
      <c r="J145" s="17">
        <v>98000</v>
      </c>
      <c r="K145" s="17">
        <v>1323000</v>
      </c>
      <c r="L145" s="19"/>
    </row>
    <row r="146" spans="1:12" ht="15.5" x14ac:dyDescent="0.3">
      <c r="A146" s="56" t="s">
        <v>32</v>
      </c>
      <c r="B146" s="63" t="s">
        <v>213</v>
      </c>
      <c r="C146" s="62">
        <v>100</v>
      </c>
      <c r="D146" s="61" t="s">
        <v>52</v>
      </c>
      <c r="E146" s="1"/>
      <c r="F146" s="1"/>
      <c r="G146" s="14">
        <v>40833.333333333328</v>
      </c>
      <c r="H146" s="15">
        <v>4083333.333333333</v>
      </c>
      <c r="I146" s="16">
        <v>0.08</v>
      </c>
      <c r="J146" s="17">
        <v>326667</v>
      </c>
      <c r="K146" s="17">
        <v>4410000.333333333</v>
      </c>
      <c r="L146" s="19"/>
    </row>
    <row r="147" spans="1:12" s="12" customFormat="1" ht="15.5" x14ac:dyDescent="0.3">
      <c r="A147" s="56" t="s">
        <v>42</v>
      </c>
      <c r="B147" s="63" t="s">
        <v>214</v>
      </c>
      <c r="C147" s="62">
        <v>100</v>
      </c>
      <c r="D147" s="61" t="s">
        <v>52</v>
      </c>
      <c r="E147" s="6"/>
      <c r="F147" s="7"/>
      <c r="G147" s="14">
        <v>36296.296296296299</v>
      </c>
      <c r="H147" s="15">
        <v>3629629.6296296301</v>
      </c>
      <c r="I147" s="16">
        <v>0.08</v>
      </c>
      <c r="J147" s="17">
        <v>290370</v>
      </c>
      <c r="K147" s="17">
        <v>3919999.6296296301</v>
      </c>
      <c r="L147" s="25"/>
    </row>
    <row r="148" spans="1:12" ht="15.5" x14ac:dyDescent="0.3">
      <c r="A148" s="56" t="s">
        <v>45</v>
      </c>
      <c r="B148" s="63" t="s">
        <v>215</v>
      </c>
      <c r="C148" s="62">
        <v>50</v>
      </c>
      <c r="D148" s="61" t="s">
        <v>52</v>
      </c>
      <c r="E148" s="1"/>
      <c r="F148" s="1"/>
      <c r="G148" s="14">
        <v>45370.370370370365</v>
      </c>
      <c r="H148" s="15">
        <v>2268518.5185185182</v>
      </c>
      <c r="I148" s="16">
        <v>0.08</v>
      </c>
      <c r="J148" s="17">
        <v>181481</v>
      </c>
      <c r="K148" s="17">
        <v>2449999.5185185182</v>
      </c>
      <c r="L148" s="26"/>
    </row>
    <row r="149" spans="1:12" ht="15.5" x14ac:dyDescent="0.3">
      <c r="A149" s="56" t="s">
        <v>47</v>
      </c>
      <c r="B149" s="63" t="s">
        <v>216</v>
      </c>
      <c r="C149" s="62">
        <v>1</v>
      </c>
      <c r="D149" s="61" t="s">
        <v>217</v>
      </c>
      <c r="E149" s="13"/>
      <c r="F149" s="13"/>
      <c r="G149" s="14">
        <v>4537037.0370370373</v>
      </c>
      <c r="H149" s="15">
        <v>4537037.0370370373</v>
      </c>
      <c r="I149" s="16">
        <v>0.08</v>
      </c>
      <c r="J149" s="17">
        <v>362963</v>
      </c>
      <c r="K149" s="17">
        <v>4900000.0370370373</v>
      </c>
      <c r="L149" s="21"/>
    </row>
    <row r="150" spans="1:12" ht="15" x14ac:dyDescent="0.3">
      <c r="A150" s="46" t="s">
        <v>15</v>
      </c>
      <c r="B150" s="46"/>
      <c r="C150" s="46"/>
      <c r="D150" s="46"/>
      <c r="E150" s="46"/>
      <c r="F150" s="46"/>
      <c r="G150" s="46"/>
      <c r="H150" s="27"/>
      <c r="I150" s="28"/>
      <c r="J150" s="29"/>
      <c r="K150" s="27">
        <v>1272959548.7768517</v>
      </c>
      <c r="L150" s="30"/>
    </row>
    <row r="151" spans="1:12" ht="15" x14ac:dyDescent="0.3">
      <c r="A151" s="46" t="s">
        <v>10</v>
      </c>
      <c r="B151" s="46"/>
      <c r="C151" s="46"/>
      <c r="D151" s="46"/>
      <c r="E151" s="46"/>
      <c r="F151" s="46"/>
      <c r="G151" s="46"/>
      <c r="H151" s="27"/>
      <c r="I151" s="28"/>
      <c r="J151" s="29"/>
      <c r="K151" s="27">
        <f>SUM(J8:J149)</f>
        <v>101836765</v>
      </c>
      <c r="L151" s="30"/>
    </row>
    <row r="152" spans="1:12" ht="15" x14ac:dyDescent="0.3">
      <c r="A152" s="46" t="s">
        <v>16</v>
      </c>
      <c r="B152" s="46"/>
      <c r="C152" s="46"/>
      <c r="D152" s="46"/>
      <c r="E152" s="46"/>
      <c r="F152" s="46"/>
      <c r="G152" s="46"/>
      <c r="H152" s="31"/>
      <c r="I152" s="31"/>
      <c r="J152" s="32"/>
      <c r="K152" s="27">
        <f>K150+K151</f>
        <v>1374796313.7768517</v>
      </c>
      <c r="L152" s="30"/>
    </row>
    <row r="153" spans="1:12" ht="16.5" x14ac:dyDescent="0.3">
      <c r="A153" s="47" t="s">
        <v>218</v>
      </c>
      <c r="B153" s="47"/>
      <c r="C153" s="47"/>
      <c r="D153" s="47"/>
      <c r="E153" s="47"/>
      <c r="F153" s="47"/>
      <c r="G153" s="47"/>
      <c r="H153" s="47"/>
      <c r="I153" s="47"/>
      <c r="J153" s="47"/>
      <c r="K153" s="47"/>
      <c r="L153" s="47"/>
    </row>
    <row r="154" spans="1:12" x14ac:dyDescent="0.3">
      <c r="E154" s="35"/>
      <c r="F154" s="35"/>
      <c r="G154" s="36"/>
      <c r="H154" s="37"/>
      <c r="I154" s="37"/>
      <c r="J154" s="37"/>
      <c r="K154" s="37"/>
    </row>
    <row r="155" spans="1:12" x14ac:dyDescent="0.3">
      <c r="G155" s="38"/>
      <c r="H155" s="38"/>
      <c r="I155" s="38"/>
      <c r="J155" s="39"/>
      <c r="K155" s="40"/>
      <c r="L155" s="41"/>
    </row>
    <row r="156" spans="1:12" x14ac:dyDescent="0.3">
      <c r="G156" s="38"/>
      <c r="J156" s="39"/>
      <c r="K156" s="40"/>
      <c r="L156" s="41"/>
    </row>
    <row r="157" spans="1:12" x14ac:dyDescent="0.3">
      <c r="E157" s="42"/>
      <c r="F157" s="42"/>
      <c r="G157" s="38"/>
      <c r="H157" s="38"/>
      <c r="I157" s="38"/>
      <c r="J157" s="39"/>
      <c r="K157" s="40"/>
      <c r="L157" s="41"/>
    </row>
    <row r="158" spans="1:12" x14ac:dyDescent="0.3">
      <c r="G158" s="43"/>
      <c r="J158" s="39"/>
      <c r="K158" s="40"/>
      <c r="L158" s="41"/>
    </row>
    <row r="159" spans="1:12" x14ac:dyDescent="0.3">
      <c r="E159" s="44"/>
      <c r="F159" s="44"/>
      <c r="G159" s="43"/>
      <c r="H159" s="43"/>
      <c r="I159" s="43"/>
      <c r="J159" s="39"/>
      <c r="K159" s="40"/>
      <c r="L159" s="41"/>
    </row>
    <row r="160" spans="1:12" x14ac:dyDescent="0.3">
      <c r="K160" s="45"/>
    </row>
  </sheetData>
  <autoFilter ref="A7:L149" xr:uid="{00000000-0001-0000-0000-000000000000}"/>
  <mergeCells count="19">
    <mergeCell ref="A1:L1"/>
    <mergeCell ref="A2:L2"/>
    <mergeCell ref="A3:L3"/>
    <mergeCell ref="A4:L4"/>
    <mergeCell ref="A6:A7"/>
    <mergeCell ref="B6:B7"/>
    <mergeCell ref="C6:C7"/>
    <mergeCell ref="D6:D7"/>
    <mergeCell ref="E6:E7"/>
    <mergeCell ref="F6:F7"/>
    <mergeCell ref="G6:G7"/>
    <mergeCell ref="H6:H7"/>
    <mergeCell ref="I6:J6"/>
    <mergeCell ref="A150:G150"/>
    <mergeCell ref="A152:G152"/>
    <mergeCell ref="A151:G151"/>
    <mergeCell ref="A153:L153"/>
    <mergeCell ref="K6:K7"/>
    <mergeCell ref="L6:L7"/>
  </mergeCells>
  <phoneticPr fontId="18" type="noConversion"/>
  <conditionalFormatting sqref="H150:H151">
    <cfRule type="expression" dxfId="1" priority="2">
      <formula>$H$162&lt;&gt;$L$162</formula>
    </cfRule>
  </conditionalFormatting>
  <conditionalFormatting sqref="K150:K152">
    <cfRule type="expression" dxfId="0" priority="1">
      <formula>$H$162&lt;&gt;$L$162</formula>
    </cfRule>
  </conditionalFormatting>
  <dataValidations count="1">
    <dataValidation type="whole" showErrorMessage="1" errorTitle="Lưu ý" error="Nhập số nguyên lớn hơn -999,999,999,999,999 và nhỏ hơn 999,999,999,999,999" promptTitle="Lưu ý" prompt="Nhập số nguyên lớn hơn -999,999,999,999,999 và nhỏ hơn 999,999,999,999,999" sqref="G9:G149" xr:uid="{64D64113-2DB1-4297-A28A-6D3FE543D2D3}">
      <formula1>-999999999999999</formula1>
      <formula2>999999999999999</formula2>
    </dataValidation>
  </dataValidations>
  <printOptions horizontalCentered="1"/>
  <pageMargins left="0.18" right="0.17" top="0.34" bottom="0.32" header="0.11" footer="0.14000000000000001"/>
  <pageSetup paperSize="9" scale="58" fitToHeight="0" orientation="landscape"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Scada_TTLL</vt:lpstr>
      <vt:lpstr>Scada_TTLL!Print_Area</vt:lpstr>
      <vt:lpstr>Scada_TTLL!Print_Titles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2025-03-28T02:44:09Z</dcterms:created>
  <dcterms:modified xsi:type="dcterms:W3CDTF">2026-09-09T02:51:59Z</dcterms:modified>
  <cp:category/>
</cp:coreProperties>
</file>