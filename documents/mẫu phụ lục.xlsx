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13D0EAA-BD31-42BF-8277-001066C93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ada_TTLL" sheetId="1" r:id="rId1"/>
  </sheets>
  <definedNames>
    <definedName name="_xlnm._FilterDatabase" localSheetId="0" hidden="1">Scada_TTLL!$A$7:$L$50</definedName>
    <definedName name="_xlnm.Print_Area" localSheetId="0">Scada_TTLL!$A$1:$L$55</definedName>
    <definedName name="_xlnm.Print_Titles" localSheetId="0">Scada_TTLL!$6:$7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J50" i="1"/>
  <c r="J49" i="1"/>
  <c r="K49" i="1" s="1"/>
  <c r="J48" i="1"/>
  <c r="K48" i="1" s="1"/>
  <c r="K47" i="1"/>
  <c r="J47" i="1"/>
  <c r="J46" i="1"/>
  <c r="K46" i="1" s="1"/>
  <c r="J45" i="1"/>
  <c r="K45" i="1" s="1"/>
  <c r="K44" i="1"/>
  <c r="J44" i="1"/>
  <c r="J43" i="1"/>
  <c r="K43" i="1" s="1"/>
  <c r="J42" i="1"/>
  <c r="K42" i="1" s="1"/>
  <c r="J41" i="1"/>
  <c r="K41" i="1" s="1"/>
  <c r="J40" i="1"/>
  <c r="K40" i="1" s="1"/>
  <c r="K39" i="1"/>
  <c r="J39" i="1"/>
  <c r="K38" i="1"/>
  <c r="J38" i="1"/>
  <c r="J37" i="1"/>
  <c r="K37" i="1" s="1"/>
  <c r="K36" i="1"/>
  <c r="J36" i="1"/>
  <c r="J35" i="1"/>
  <c r="K35" i="1" s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6" i="1"/>
  <c r="H35" i="1"/>
  <c r="J17" i="1"/>
  <c r="K17" i="1"/>
  <c r="J18" i="1"/>
  <c r="K18" i="1"/>
  <c r="J19" i="1"/>
  <c r="K19" i="1" s="1"/>
  <c r="J20" i="1"/>
  <c r="K20" i="1"/>
  <c r="H17" i="1"/>
  <c r="H18" i="1"/>
  <c r="H19" i="1"/>
  <c r="H20" i="1"/>
  <c r="H31" i="1"/>
  <c r="H30" i="1"/>
  <c r="H29" i="1"/>
  <c r="H28" i="1"/>
  <c r="J28" i="1" s="1"/>
  <c r="K28" i="1" s="1"/>
  <c r="H26" i="1"/>
  <c r="H14" i="1"/>
  <c r="J14" i="1" s="1"/>
  <c r="H13" i="1"/>
  <c r="H12" i="1"/>
  <c r="H11" i="1"/>
  <c r="J11" i="1" s="1"/>
  <c r="K11" i="1" s="1"/>
  <c r="H10" i="1"/>
  <c r="J10" i="1" s="1"/>
  <c r="K10" i="1" s="1"/>
  <c r="H9" i="1"/>
  <c r="H33" i="1"/>
  <c r="J33" i="1" s="1"/>
  <c r="K33" i="1" s="1"/>
  <c r="H32" i="1"/>
  <c r="H25" i="1"/>
  <c r="H24" i="1"/>
  <c r="J24" i="1" s="1"/>
  <c r="K24" i="1" s="1"/>
  <c r="H23" i="1"/>
  <c r="H22" i="1"/>
  <c r="H16" i="1"/>
  <c r="H15" i="1"/>
  <c r="J15" i="1" s="1"/>
  <c r="K15" i="1" s="1"/>
  <c r="J29" i="1" l="1"/>
  <c r="K29" i="1" s="1"/>
  <c r="K14" i="1"/>
  <c r="J30" i="1"/>
  <c r="K30" i="1" s="1"/>
  <c r="J32" i="1"/>
  <c r="K32" i="1" s="1"/>
  <c r="J12" i="1"/>
  <c r="K12" i="1" s="1"/>
  <c r="J23" i="1"/>
  <c r="K23" i="1" s="1"/>
  <c r="J13" i="1"/>
  <c r="K13" i="1" s="1"/>
  <c r="J22" i="1"/>
  <c r="K22" i="1" s="1"/>
  <c r="J31" i="1"/>
  <c r="K31" i="1" s="1"/>
  <c r="J16" i="1"/>
  <c r="K16" i="1" s="1"/>
  <c r="J25" i="1"/>
  <c r="K25" i="1" s="1"/>
  <c r="J9" i="1"/>
  <c r="K9" i="1" s="1"/>
  <c r="J26" i="1"/>
  <c r="K26" i="1" s="1"/>
  <c r="K52" i="1" l="1"/>
  <c r="K53" i="1" l="1"/>
  <c r="K54" i="1" l="1"/>
</calcChain>
</file>

<file path=xl/sharedStrings.xml><?xml version="1.0" encoding="utf-8"?>
<sst xmlns="http://schemas.openxmlformats.org/spreadsheetml/2006/main" count="153" uniqueCount="103">
  <si>
    <t/>
  </si>
  <si>
    <t>Ghi chú</t>
  </si>
  <si>
    <t>Mã hiệu</t>
  </si>
  <si>
    <t>Nguồn sản xuất</t>
  </si>
  <si>
    <t>Đơn giá</t>
  </si>
  <si>
    <t>Stt</t>
  </si>
  <si>
    <t>Mô tả công việc mời thầu</t>
  </si>
  <si>
    <t xml:space="preserve">Đơn vị tính </t>
  </si>
  <si>
    <t>Khối lượng</t>
  </si>
  <si>
    <t>Thành tiền
trước thuế VAT</t>
  </si>
  <si>
    <t>Thuế VAT</t>
  </si>
  <si>
    <t>%</t>
  </si>
  <si>
    <t>Tiền thuế</t>
  </si>
  <si>
    <t>Tổng tiền</t>
  </si>
  <si>
    <t>PHỤ LỤC 01: BẢNG CHI TIẾT GIÁ TRỊ HỢP ĐỒNG</t>
  </si>
  <si>
    <t>Tổng giá trị trước thuế (VNĐ)</t>
  </si>
  <si>
    <t>Tổng giá trị sau thuế (VNĐ)</t>
  </si>
  <si>
    <t>105.1</t>
  </si>
  <si>
    <t>105.2</t>
  </si>
  <si>
    <t>105.3</t>
  </si>
  <si>
    <t>105.4</t>
  </si>
  <si>
    <t>105.5</t>
  </si>
  <si>
    <t>105.6</t>
  </si>
  <si>
    <t>105.7</t>
  </si>
  <si>
    <t>105.8</t>
  </si>
  <si>
    <t>105.9</t>
  </si>
  <si>
    <t>105.10</t>
  </si>
  <si>
    <t>105.11</t>
  </si>
  <si>
    <t>105.12</t>
  </si>
  <si>
    <t>106.1</t>
  </si>
  <si>
    <t>106.2</t>
  </si>
  <si>
    <t>106.3</t>
  </si>
  <si>
    <t>106.4</t>
  </si>
  <si>
    <t>106.5</t>
  </si>
  <si>
    <t>106.6</t>
  </si>
  <si>
    <t>106.7</t>
  </si>
  <si>
    <t>106.8</t>
  </si>
  <si>
    <t>106.9</t>
  </si>
  <si>
    <t>107.1</t>
  </si>
  <si>
    <t>107.2</t>
  </si>
  <si>
    <t>107.3</t>
  </si>
  <si>
    <t>107.4</t>
  </si>
  <si>
    <t>bộ</t>
  </si>
  <si>
    <t>lô</t>
  </si>
  <si>
    <t>(Bằng chữ: Một tỷ, sáu trăm lẻ tám triệu, bốn trăm bảy mươi mốt nghìn đồng./.)</t>
  </si>
  <si>
    <t>104.1</t>
  </si>
  <si>
    <t>104.2</t>
  </si>
  <si>
    <t>104.3</t>
  </si>
  <si>
    <t>104.4</t>
  </si>
  <si>
    <t>104.5</t>
  </si>
  <si>
    <t>104.6</t>
  </si>
  <si>
    <t>104.7</t>
  </si>
  <si>
    <t>104.8</t>
  </si>
  <si>
    <t>104.9</t>
  </si>
  <si>
    <t>104.10</t>
  </si>
  <si>
    <t>104.11</t>
  </si>
  <si>
    <t>104.12</t>
  </si>
  <si>
    <t>106.10</t>
  </si>
  <si>
    <t>106.11</t>
  </si>
  <si>
    <t>HỆ THỐNG CAMERA GIÁM SÁT THI CÔNG: NHÀ THẦU CUNG CẤP</t>
  </si>
  <si>
    <t>Camera ngoài trời</t>
  </si>
  <si>
    <t>Trụ đỡ camera</t>
  </si>
  <si>
    <t>Tủ kỹ thuật (bao gồm cả bộ cắt lọc sét)</t>
  </si>
  <si>
    <t>Camera an ninh tại cổng trạm, bao gồm vật liệu lắp đặt</t>
  </si>
  <si>
    <t>Hệ thống camera di động (bao gồm 5 camera)</t>
  </si>
  <si>
    <t>Hệ thống nguồn (Pin năng lượng mặt trời; Hệ thống ắcquy lưu trữ lắp trong tủ kỹ thuật)</t>
  </si>
  <si>
    <t>Bộ thu phát sóng 4G (Router 4G) (lắp trong tủ kỹ thuật)</t>
  </si>
  <si>
    <t>Sim kit 3-4G (lắp trong tủ kỹ thuật)</t>
  </si>
  <si>
    <t>Thiết bị switch tích hợp cấp nguồn PoE 10 cổng</t>
  </si>
  <si>
    <t>Đầu ghi 12 cổng + Bộ lưu trữ giữ liệu tích hợp trong đầu ghi</t>
  </si>
  <si>
    <t>Màn hình cho hệ thống camera 21”</t>
  </si>
  <si>
    <t>Dây mạng, phụ kiện lắp đặt</t>
  </si>
  <si>
    <t>HỆ THỐNG CAMERA GIÁM SÁT THI CÔNG: NHÀ THẦU LẮP ĐẶT VÀ THI CÔNG XÂY DỰNG</t>
  </si>
  <si>
    <t>Trụ đỡ</t>
  </si>
  <si>
    <t>Hệ thống nguồn</t>
  </si>
  <si>
    <t>Móng trụ đỡ camera</t>
  </si>
  <si>
    <t>PHẦN THIẾT BỊ VẬT TƯ BÊN A CẤP, NHÀ THẦU LẮP ĐẶT: HỆ THỐNG CAMERA GIÁM SÁT</t>
  </si>
  <si>
    <t>Camera</t>
  </si>
  <si>
    <t>Monitor</t>
  </si>
  <si>
    <t>Bàn điều khiển tín hiệu hình</t>
  </si>
  <si>
    <t>Lắp đặt bộ điều khiển, bộ chuyển mạch và các đầu báo từ của hệ thống camera: Máy tính điều khiển</t>
  </si>
  <si>
    <t>Hộp đấu dây trung gian (gồm: Media converter; Bộ chuyển đổi nguồn; Dàn phối quang ODF+TB; Bộ cắt lọc chống sét nguồn; Bộ chống sét tín hiệu; Bộ nối đất cho hộp đấu dây trung gian; MCB, cáp và phụ kiện đấu nối)</t>
  </si>
  <si>
    <t>Trọn bộ hệ thống cắt lọc, chống sét nguồn</t>
  </si>
  <si>
    <t>Bộ ghi hình qua mạng 32 kênh hỗ trợ mở rộng bộ lưu trữ nếu cần</t>
  </si>
  <si>
    <t>Bộ lưu trữ, quản lý camera IP</t>
  </si>
  <si>
    <t>Switch quang 24 cổng</t>
  </si>
  <si>
    <t>Bộ cắt lọc chống sét nguồn tổng</t>
  </si>
  <si>
    <t>Các bộ chuyển đổi nguồn AC</t>
  </si>
  <si>
    <t>PHẦN THIẾT BỊ VẬT TƯ BÊN A CẤP, NHÀ THẦU LẮP ĐẶT: HỆ THỐNG CHỐNG ĐỘT NHẬP</t>
  </si>
  <si>
    <t>Trung tâm báo động chống đột nhập (bộ xử lý trung tâm)</t>
  </si>
  <si>
    <t>Bàn phím điều khiển</t>
  </si>
  <si>
    <t>Bộ chuyển đổi nguồn AC</t>
  </si>
  <si>
    <t>Trọn bộ đầu cảm biến: 1 lô (tối thiểu 10bộ - đủ dùng để đảm bảo hoàn thiện toàn bộ hệ thống báo động chống đột nhập trong phạm vi hàng rào bảo vệ trạm)</t>
  </si>
  <si>
    <t>1 thiết bị</t>
  </si>
  <si>
    <t>1 tủ</t>
  </si>
  <si>
    <t>1 bộ</t>
  </si>
  <si>
    <t>tủ</t>
  </si>
  <si>
    <t>1 phiến (card)</t>
  </si>
  <si>
    <t>móng</t>
  </si>
  <si>
    <t>1 bộ (phát, thu)</t>
  </si>
  <si>
    <t>Công trình: Trạm biến áp 500kV Bắc Ninh</t>
  </si>
  <si>
    <t>Hạng mục: Hệ thống Camera giám sát thi công</t>
  </si>
  <si>
    <t>(Đính kèm theo Hợp đồng số:       /2026/HĐ-XLĐ4-TSM ngày   /   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</si>
</sst>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i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6" fontId="0" fillId="0" borderId="0" xfId="3" applyNumberFormat="1" applyFont="1" applyAlignment="1">
      <alignment vertical="center"/>
    </xf>
    <xf numFmtId="0" fontId="11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166" fontId="11" fillId="0" borderId="0" xfId="3" applyNumberFormat="1" applyFont="1" applyAlignment="1">
      <alignment vertical="center"/>
    </xf>
    <xf numFmtId="166" fontId="11" fillId="0" borderId="0" xfId="3" applyNumberFormat="1" applyFont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" fontId="15" fillId="2" borderId="0" xfId="0" applyNumberFormat="1" applyFont="1" applyFill="1" applyAlignment="1">
      <alignment vertical="center" wrapText="1"/>
    </xf>
    <xf numFmtId="3" fontId="15" fillId="2" borderId="0" xfId="0" applyNumberFormat="1" applyFont="1" applyFill="1" applyAlignment="1">
      <alignment vertical="center" wrapText="1"/>
    </xf>
    <xf numFmtId="3" fontId="0" fillId="0" borderId="0" xfId="0" applyNumberFormat="1" applyAlignment="1">
      <alignment vertical="center"/>
    </xf>
    <xf numFmtId="10" fontId="0" fillId="0" borderId="0" xfId="4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10" fontId="11" fillId="3" borderId="0" xfId="4" applyNumberFormat="1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3" fontId="10" fillId="4" borderId="1" xfId="3" applyNumberFormat="1" applyFont="1" applyFill="1" applyBorder="1" applyAlignment="1">
      <alignment horizontal="righ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4" fontId="15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3" fontId="10" fillId="4" borderId="1" xfId="3" applyNumberFormat="1" applyFont="1" applyFill="1" applyBorder="1" applyAlignment="1">
      <alignment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3" fontId="2" fillId="0" borderId="2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6" fontId="10" fillId="4" borderId="2" xfId="3" applyNumberFormat="1" applyFont="1" applyFill="1" applyBorder="1" applyAlignment="1">
      <alignment horizontal="right" vertical="center"/>
    </xf>
    <xf numFmtId="166" fontId="10" fillId="4" borderId="2" xfId="3" applyNumberFormat="1" applyFont="1" applyFill="1" applyBorder="1" applyAlignment="1">
      <alignment horizontal="left" vertical="center"/>
    </xf>
    <xf numFmtId="9" fontId="10" fillId="4" borderId="2" xfId="4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66" fontId="6" fillId="4" borderId="2" xfId="3" applyNumberFormat="1" applyFont="1" applyFill="1" applyBorder="1" applyAlignment="1">
      <alignment horizontal="right" vertical="center"/>
    </xf>
    <xf numFmtId="9" fontId="6" fillId="4" borderId="2" xfId="4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165" fontId="6" fillId="4" borderId="2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/>
    </xf>
    <xf numFmtId="0" fontId="20" fillId="4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165" fontId="6" fillId="4" borderId="4" xfId="1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166" fontId="6" fillId="4" borderId="4" xfId="3" applyNumberFormat="1" applyFont="1" applyFill="1" applyBorder="1" applyAlignment="1">
      <alignment horizontal="right" vertical="center"/>
    </xf>
    <xf numFmtId="166" fontId="6" fillId="4" borderId="4" xfId="3" applyNumberFormat="1" applyFont="1" applyFill="1" applyBorder="1" applyAlignment="1">
      <alignment horizontal="left" vertical="center"/>
    </xf>
    <xf numFmtId="9" fontId="6" fillId="4" borderId="4" xfId="4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165" fontId="6" fillId="4" borderId="5" xfId="1" applyNumberFormat="1" applyFont="1" applyFill="1" applyBorder="1" applyAlignment="1">
      <alignment horizontal="center" vertical="center"/>
    </xf>
    <xf numFmtId="166" fontId="6" fillId="4" borderId="5" xfId="3" applyNumberFormat="1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43" fontId="6" fillId="4" borderId="2" xfId="3" applyFont="1" applyFill="1" applyBorder="1" applyAlignment="1">
      <alignment vertical="center"/>
    </xf>
    <xf numFmtId="43" fontId="10" fillId="4" borderId="2" xfId="3" applyFont="1" applyFill="1" applyBorder="1" applyAlignment="1">
      <alignment vertical="center"/>
    </xf>
    <xf numFmtId="43" fontId="6" fillId="4" borderId="4" xfId="3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6" fontId="6" fillId="4" borderId="2" xfId="3" applyNumberFormat="1" applyFont="1" applyFill="1" applyBorder="1" applyAlignment="1" applyProtection="1">
      <alignment vertical="center"/>
      <protection locked="0"/>
    </xf>
    <xf numFmtId="166" fontId="10" fillId="4" borderId="2" xfId="3" applyNumberFormat="1" applyFont="1" applyFill="1" applyBorder="1" applyAlignment="1" applyProtection="1">
      <alignment vertical="center"/>
      <protection locked="0"/>
    </xf>
  </cellXfs>
  <cellStyles count="5">
    <cellStyle name="Comma" xfId="3" builtinId="3"/>
    <cellStyle name="Comma 2" xfId="1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2"/>
  <sheetViews>
    <sheetView tabSelected="1" view="pageBreakPreview" zoomScale="85" zoomScaleNormal="85" zoomScaleSheetLayoutView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10" sqref="F10"/>
    </sheetView>
  </sheetViews>
  <sheetFormatPr defaultColWidth="8.88671875" defaultRowHeight="14.4" x14ac:dyDescent="0.3"/>
  <cols>
    <col min="1" max="1" width="9.44140625" style="1" customWidth="1"/>
    <col min="2" max="2" width="60.33203125" style="2" customWidth="1"/>
    <col min="3" max="3" width="11.33203125" style="15" customWidth="1"/>
    <col min="4" max="4" width="12.44140625" style="3" customWidth="1"/>
    <col min="5" max="5" width="18.109375" style="3" bestFit="1" customWidth="1"/>
    <col min="6" max="6" width="22.6640625" style="3" bestFit="1" customWidth="1"/>
    <col min="7" max="7" width="16.6640625" style="19" bestFit="1" customWidth="1"/>
    <col min="8" max="8" width="17.88671875" style="1" bestFit="1" customWidth="1"/>
    <col min="9" max="9" width="9.44140625" style="1" customWidth="1"/>
    <col min="10" max="10" width="16.44140625" style="1" bestFit="1" customWidth="1"/>
    <col min="11" max="11" width="18.109375" style="1" customWidth="1"/>
    <col min="12" max="12" width="15.6640625" style="1" customWidth="1"/>
    <col min="13" max="16384" width="8.88671875" style="1"/>
  </cols>
  <sheetData>
    <row r="1" spans="1:12" ht="20.399999999999999" x14ac:dyDescent="0.3">
      <c r="A1" s="67" t="s">
        <v>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7.399999999999999" x14ac:dyDescent="0.3">
      <c r="A2" s="68" t="s">
        <v>100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17.399999999999999" x14ac:dyDescent="0.3">
      <c r="A3" s="68" t="s">
        <v>101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ht="18" x14ac:dyDescent="0.3">
      <c r="A4" s="69" t="s">
        <v>102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7.399999999999999" x14ac:dyDescent="0.3">
      <c r="A5" s="20"/>
      <c r="B5" s="20"/>
      <c r="C5" s="20"/>
      <c r="D5" s="20"/>
      <c r="E5" s="21"/>
      <c r="F5" s="21"/>
      <c r="G5" s="21"/>
      <c r="H5" s="21"/>
      <c r="I5" s="21"/>
      <c r="J5" s="21"/>
      <c r="K5" s="21"/>
      <c r="L5" s="22"/>
    </row>
    <row r="6" spans="1:12" ht="15.6" x14ac:dyDescent="0.3">
      <c r="A6" s="65" t="s">
        <v>5</v>
      </c>
      <c r="B6" s="65" t="s">
        <v>6</v>
      </c>
      <c r="C6" s="65" t="s">
        <v>8</v>
      </c>
      <c r="D6" s="65" t="s">
        <v>7</v>
      </c>
      <c r="E6" s="65" t="s">
        <v>2</v>
      </c>
      <c r="F6" s="65" t="s">
        <v>3</v>
      </c>
      <c r="G6" s="65" t="s">
        <v>4</v>
      </c>
      <c r="H6" s="65" t="s">
        <v>9</v>
      </c>
      <c r="I6" s="65" t="s">
        <v>10</v>
      </c>
      <c r="J6" s="65"/>
      <c r="K6" s="65" t="s">
        <v>13</v>
      </c>
      <c r="L6" s="66" t="s">
        <v>1</v>
      </c>
    </row>
    <row r="7" spans="1:12" ht="15.6" x14ac:dyDescent="0.3">
      <c r="A7" s="65"/>
      <c r="B7" s="65"/>
      <c r="C7" s="65"/>
      <c r="D7" s="65"/>
      <c r="E7" s="65"/>
      <c r="F7" s="65"/>
      <c r="G7" s="65"/>
      <c r="H7" s="65"/>
      <c r="I7" s="23" t="s">
        <v>11</v>
      </c>
      <c r="J7" s="23" t="s">
        <v>12</v>
      </c>
      <c r="K7" s="65"/>
      <c r="L7" s="66"/>
    </row>
    <row r="8" spans="1:12" s="5" customFormat="1" ht="31.2" x14ac:dyDescent="0.3">
      <c r="A8" s="70">
        <v>104</v>
      </c>
      <c r="B8" s="72" t="s">
        <v>59</v>
      </c>
      <c r="C8" s="32" t="s">
        <v>0</v>
      </c>
      <c r="D8" s="33" t="s">
        <v>0</v>
      </c>
      <c r="E8" s="34"/>
      <c r="F8" s="34"/>
      <c r="G8" s="35"/>
      <c r="H8" s="36"/>
      <c r="I8" s="37"/>
      <c r="J8" s="35"/>
      <c r="K8" s="35"/>
      <c r="L8" s="38"/>
    </row>
    <row r="9" spans="1:12" ht="15.6" x14ac:dyDescent="0.3">
      <c r="A9" s="47" t="s">
        <v>45</v>
      </c>
      <c r="B9" s="48" t="s">
        <v>60</v>
      </c>
      <c r="C9" s="75">
        <v>8</v>
      </c>
      <c r="D9" s="47" t="s">
        <v>93</v>
      </c>
      <c r="E9" s="61"/>
      <c r="F9" s="61"/>
      <c r="G9" s="80">
        <v>30227273</v>
      </c>
      <c r="H9" s="62">
        <f t="shared" ref="H9:H20" si="0">G9*C9</f>
        <v>241818184</v>
      </c>
      <c r="I9" s="42">
        <v>0.08</v>
      </c>
      <c r="J9" s="41">
        <f t="shared" ref="J9:J16" si="1">I9*H9</f>
        <v>19345454.719999999</v>
      </c>
      <c r="K9" s="41">
        <f t="shared" ref="K9:K16" si="2">+H9+J9</f>
        <v>261163638.72</v>
      </c>
      <c r="L9" s="43"/>
    </row>
    <row r="10" spans="1:12" ht="15.6" x14ac:dyDescent="0.3">
      <c r="A10" s="47" t="s">
        <v>46</v>
      </c>
      <c r="B10" s="48" t="s">
        <v>61</v>
      </c>
      <c r="C10" s="75">
        <v>8</v>
      </c>
      <c r="D10" s="47" t="s">
        <v>42</v>
      </c>
      <c r="E10" s="61"/>
      <c r="F10" s="61"/>
      <c r="G10" s="80">
        <v>5181818</v>
      </c>
      <c r="H10" s="62">
        <f t="shared" si="0"/>
        <v>41454544</v>
      </c>
      <c r="I10" s="42">
        <v>0.08</v>
      </c>
      <c r="J10" s="41">
        <f t="shared" si="1"/>
        <v>3316363.52</v>
      </c>
      <c r="K10" s="41">
        <f t="shared" si="2"/>
        <v>44770907.520000003</v>
      </c>
      <c r="L10" s="44"/>
    </row>
    <row r="11" spans="1:12" ht="15.6" x14ac:dyDescent="0.3">
      <c r="A11" s="47" t="s">
        <v>47</v>
      </c>
      <c r="B11" s="48" t="s">
        <v>62</v>
      </c>
      <c r="C11" s="75">
        <v>9</v>
      </c>
      <c r="D11" s="47" t="s">
        <v>94</v>
      </c>
      <c r="E11" s="61"/>
      <c r="F11" s="61"/>
      <c r="G11" s="80">
        <v>7772727</v>
      </c>
      <c r="H11" s="62">
        <f t="shared" si="0"/>
        <v>69954543</v>
      </c>
      <c r="I11" s="42">
        <v>0.08</v>
      </c>
      <c r="J11" s="41">
        <f t="shared" si="1"/>
        <v>5596363.4400000004</v>
      </c>
      <c r="K11" s="41">
        <f t="shared" si="2"/>
        <v>75550906.439999998</v>
      </c>
      <c r="L11" s="44"/>
    </row>
    <row r="12" spans="1:12" ht="15.6" x14ac:dyDescent="0.3">
      <c r="A12" s="47" t="s">
        <v>48</v>
      </c>
      <c r="B12" s="48" t="s">
        <v>63</v>
      </c>
      <c r="C12" s="75">
        <v>1</v>
      </c>
      <c r="D12" s="47" t="s">
        <v>93</v>
      </c>
      <c r="E12" s="46"/>
      <c r="F12" s="30"/>
      <c r="G12" s="80">
        <v>30227273</v>
      </c>
      <c r="H12" s="62">
        <f t="shared" si="0"/>
        <v>30227273</v>
      </c>
      <c r="I12" s="42">
        <v>0.08</v>
      </c>
      <c r="J12" s="41">
        <f t="shared" si="1"/>
        <v>2418181.84</v>
      </c>
      <c r="K12" s="41">
        <f t="shared" si="2"/>
        <v>32645454.84</v>
      </c>
      <c r="L12" s="59"/>
    </row>
    <row r="13" spans="1:12" ht="15.6" x14ac:dyDescent="0.3">
      <c r="A13" s="47" t="s">
        <v>49</v>
      </c>
      <c r="B13" s="48" t="s">
        <v>64</v>
      </c>
      <c r="C13" s="75">
        <v>5</v>
      </c>
      <c r="D13" s="47" t="s">
        <v>93</v>
      </c>
      <c r="E13" s="40"/>
      <c r="F13" s="30"/>
      <c r="G13" s="80">
        <v>30227273</v>
      </c>
      <c r="H13" s="62">
        <f t="shared" si="0"/>
        <v>151136365</v>
      </c>
      <c r="I13" s="42">
        <v>0.08</v>
      </c>
      <c r="J13" s="41">
        <f t="shared" si="1"/>
        <v>12090909.200000001</v>
      </c>
      <c r="K13" s="41">
        <f t="shared" si="2"/>
        <v>163227274.19999999</v>
      </c>
      <c r="L13" s="43"/>
    </row>
    <row r="14" spans="1:12" ht="31.2" x14ac:dyDescent="0.3">
      <c r="A14" s="47" t="s">
        <v>50</v>
      </c>
      <c r="B14" s="48" t="s">
        <v>65</v>
      </c>
      <c r="C14" s="75">
        <v>9</v>
      </c>
      <c r="D14" s="47" t="s">
        <v>94</v>
      </c>
      <c r="E14" s="60"/>
      <c r="F14" s="61"/>
      <c r="G14" s="80">
        <v>6045455</v>
      </c>
      <c r="H14" s="62">
        <f t="shared" si="0"/>
        <v>54409095</v>
      </c>
      <c r="I14" s="42">
        <v>0.08</v>
      </c>
      <c r="J14" s="41">
        <f t="shared" si="1"/>
        <v>4352727.5999999996</v>
      </c>
      <c r="K14" s="41">
        <f t="shared" si="2"/>
        <v>58761822.600000001</v>
      </c>
      <c r="L14" s="59"/>
    </row>
    <row r="15" spans="1:12" ht="15.6" x14ac:dyDescent="0.3">
      <c r="A15" s="47" t="s">
        <v>51</v>
      </c>
      <c r="B15" s="48" t="s">
        <v>66</v>
      </c>
      <c r="C15" s="75">
        <v>2</v>
      </c>
      <c r="D15" s="47" t="s">
        <v>95</v>
      </c>
      <c r="E15" s="45"/>
      <c r="F15" s="61"/>
      <c r="G15" s="80">
        <v>3022727</v>
      </c>
      <c r="H15" s="62">
        <f t="shared" si="0"/>
        <v>6045454</v>
      </c>
      <c r="I15" s="42">
        <v>0.08</v>
      </c>
      <c r="J15" s="41">
        <f t="shared" si="1"/>
        <v>483636.32</v>
      </c>
      <c r="K15" s="41">
        <f t="shared" si="2"/>
        <v>6529090.3200000003</v>
      </c>
      <c r="L15" s="59"/>
    </row>
    <row r="16" spans="1:12" ht="15.6" x14ac:dyDescent="0.3">
      <c r="A16" s="47" t="s">
        <v>52</v>
      </c>
      <c r="B16" s="48" t="s">
        <v>67</v>
      </c>
      <c r="C16" s="75">
        <v>2</v>
      </c>
      <c r="D16" s="47" t="s">
        <v>42</v>
      </c>
      <c r="E16" s="40"/>
      <c r="F16" s="40"/>
      <c r="G16" s="80">
        <v>12954545</v>
      </c>
      <c r="H16" s="62">
        <f t="shared" si="0"/>
        <v>25909090</v>
      </c>
      <c r="I16" s="42">
        <v>0.08</v>
      </c>
      <c r="J16" s="41">
        <f t="shared" si="1"/>
        <v>2072727.2</v>
      </c>
      <c r="K16" s="41">
        <f t="shared" si="2"/>
        <v>27981817.199999999</v>
      </c>
      <c r="L16" s="43"/>
    </row>
    <row r="17" spans="1:12" s="5" customFormat="1" ht="16.2" x14ac:dyDescent="0.3">
      <c r="A17" s="47" t="s">
        <v>53</v>
      </c>
      <c r="B17" s="48" t="s">
        <v>68</v>
      </c>
      <c r="C17" s="75">
        <v>1</v>
      </c>
      <c r="D17" s="47" t="s">
        <v>42</v>
      </c>
      <c r="E17" s="34"/>
      <c r="F17" s="34"/>
      <c r="G17" s="80">
        <v>2159091</v>
      </c>
      <c r="H17" s="62">
        <f t="shared" si="0"/>
        <v>2159091</v>
      </c>
      <c r="I17" s="42">
        <v>0.08</v>
      </c>
      <c r="J17" s="41">
        <f t="shared" ref="J17:J21" si="3">I17*H17</f>
        <v>172727.28</v>
      </c>
      <c r="K17" s="41">
        <f t="shared" ref="K17:K21" si="4">+H17+J17</f>
        <v>2331818.2799999998</v>
      </c>
      <c r="L17" s="38"/>
    </row>
    <row r="18" spans="1:12" ht="15.6" x14ac:dyDescent="0.3">
      <c r="A18" s="47" t="s">
        <v>54</v>
      </c>
      <c r="B18" s="48" t="s">
        <v>69</v>
      </c>
      <c r="C18" s="75">
        <v>1</v>
      </c>
      <c r="D18" s="47" t="s">
        <v>93</v>
      </c>
      <c r="E18" s="61"/>
      <c r="F18" s="61"/>
      <c r="G18" s="80">
        <v>8636364</v>
      </c>
      <c r="H18" s="62">
        <f t="shared" si="0"/>
        <v>8636364</v>
      </c>
      <c r="I18" s="42">
        <v>0.08</v>
      </c>
      <c r="J18" s="41">
        <f t="shared" si="3"/>
        <v>690909.12</v>
      </c>
      <c r="K18" s="41">
        <f t="shared" si="4"/>
        <v>9327273.1199999992</v>
      </c>
      <c r="L18" s="59"/>
    </row>
    <row r="19" spans="1:12" ht="15.6" x14ac:dyDescent="0.3">
      <c r="A19" s="47" t="s">
        <v>55</v>
      </c>
      <c r="B19" s="48" t="s">
        <v>70</v>
      </c>
      <c r="C19" s="75">
        <v>1</v>
      </c>
      <c r="D19" s="47" t="s">
        <v>93</v>
      </c>
      <c r="E19" s="39"/>
      <c r="F19" s="61"/>
      <c r="G19" s="80">
        <v>3022727</v>
      </c>
      <c r="H19" s="62">
        <f t="shared" si="0"/>
        <v>3022727</v>
      </c>
      <c r="I19" s="42">
        <v>0.08</v>
      </c>
      <c r="J19" s="41">
        <f t="shared" si="3"/>
        <v>241818.16</v>
      </c>
      <c r="K19" s="41">
        <f t="shared" si="4"/>
        <v>3264545.16</v>
      </c>
      <c r="L19" s="44"/>
    </row>
    <row r="20" spans="1:12" ht="15.6" x14ac:dyDescent="0.3">
      <c r="A20" s="47" t="s">
        <v>56</v>
      </c>
      <c r="B20" s="48" t="s">
        <v>71</v>
      </c>
      <c r="C20" s="75">
        <v>1</v>
      </c>
      <c r="D20" s="47" t="s">
        <v>43</v>
      </c>
      <c r="E20" s="45"/>
      <c r="F20" s="61"/>
      <c r="G20" s="80">
        <v>215909091</v>
      </c>
      <c r="H20" s="62">
        <f t="shared" si="0"/>
        <v>215909091</v>
      </c>
      <c r="I20" s="42">
        <v>0.08</v>
      </c>
      <c r="J20" s="41">
        <f t="shared" si="3"/>
        <v>17272727.280000001</v>
      </c>
      <c r="K20" s="41">
        <f t="shared" si="4"/>
        <v>233181818.28</v>
      </c>
      <c r="L20" s="44"/>
    </row>
    <row r="21" spans="1:12" ht="31.2" x14ac:dyDescent="0.3">
      <c r="A21" s="71">
        <v>105</v>
      </c>
      <c r="B21" s="73" t="s">
        <v>72</v>
      </c>
      <c r="C21" s="76" t="s">
        <v>0</v>
      </c>
      <c r="D21" s="71" t="s">
        <v>0</v>
      </c>
      <c r="E21" s="45"/>
      <c r="F21" s="61"/>
      <c r="G21" s="81" t="s">
        <v>0</v>
      </c>
      <c r="H21" s="62"/>
      <c r="I21" s="42"/>
      <c r="J21" s="41"/>
      <c r="K21" s="41"/>
      <c r="L21" s="44"/>
    </row>
    <row r="22" spans="1:12" ht="15.6" x14ac:dyDescent="0.3">
      <c r="A22" s="39" t="s">
        <v>17</v>
      </c>
      <c r="B22" s="48" t="s">
        <v>60</v>
      </c>
      <c r="C22" s="75">
        <v>8</v>
      </c>
      <c r="D22" s="47" t="s">
        <v>42</v>
      </c>
      <c r="E22" s="45"/>
      <c r="F22" s="30"/>
      <c r="G22" s="80">
        <v>431818</v>
      </c>
      <c r="H22" s="62">
        <f t="shared" ref="H18:H26" si="5">G22*C22</f>
        <v>3454544</v>
      </c>
      <c r="I22" s="42">
        <v>0.08</v>
      </c>
      <c r="J22" s="41">
        <f t="shared" ref="J18:J26" si="6">I22*H22</f>
        <v>276363.52000000002</v>
      </c>
      <c r="K22" s="41">
        <f t="shared" ref="K18:K26" si="7">+H22+J22</f>
        <v>3730907.52</v>
      </c>
      <c r="L22" s="44"/>
    </row>
    <row r="23" spans="1:12" ht="15.6" x14ac:dyDescent="0.3">
      <c r="A23" s="39" t="s">
        <v>18</v>
      </c>
      <c r="B23" s="48" t="s">
        <v>73</v>
      </c>
      <c r="C23" s="75">
        <v>8</v>
      </c>
      <c r="D23" s="47" t="s">
        <v>42</v>
      </c>
      <c r="E23" s="39"/>
      <c r="F23" s="30"/>
      <c r="G23" s="80">
        <v>431818</v>
      </c>
      <c r="H23" s="62">
        <f t="shared" si="5"/>
        <v>3454544</v>
      </c>
      <c r="I23" s="42">
        <v>0.08</v>
      </c>
      <c r="J23" s="41">
        <f t="shared" si="6"/>
        <v>276363.52000000002</v>
      </c>
      <c r="K23" s="41">
        <f t="shared" si="7"/>
        <v>3730907.52</v>
      </c>
      <c r="L23" s="43"/>
    </row>
    <row r="24" spans="1:12" ht="15.6" x14ac:dyDescent="0.3">
      <c r="A24" s="39" t="s">
        <v>19</v>
      </c>
      <c r="B24" s="48" t="s">
        <v>62</v>
      </c>
      <c r="C24" s="75">
        <v>9</v>
      </c>
      <c r="D24" s="47" t="s">
        <v>96</v>
      </c>
      <c r="E24" s="39"/>
      <c r="F24" s="61"/>
      <c r="G24" s="80">
        <v>431818</v>
      </c>
      <c r="H24" s="62">
        <f t="shared" si="5"/>
        <v>3886362</v>
      </c>
      <c r="I24" s="42">
        <v>0.08</v>
      </c>
      <c r="J24" s="41">
        <f t="shared" si="6"/>
        <v>310908.96000000002</v>
      </c>
      <c r="K24" s="41">
        <f t="shared" si="7"/>
        <v>4197270.96</v>
      </c>
      <c r="L24" s="59"/>
    </row>
    <row r="25" spans="1:12" ht="15.6" x14ac:dyDescent="0.3">
      <c r="A25" s="39" t="s">
        <v>20</v>
      </c>
      <c r="B25" s="48" t="s">
        <v>63</v>
      </c>
      <c r="C25" s="75">
        <v>1</v>
      </c>
      <c r="D25" s="47" t="s">
        <v>42</v>
      </c>
      <c r="E25" s="45"/>
      <c r="F25" s="61"/>
      <c r="G25" s="80">
        <v>431818</v>
      </c>
      <c r="H25" s="62">
        <f t="shared" si="5"/>
        <v>431818</v>
      </c>
      <c r="I25" s="42">
        <v>0.08</v>
      </c>
      <c r="J25" s="41">
        <f t="shared" si="6"/>
        <v>34545.440000000002</v>
      </c>
      <c r="K25" s="41">
        <f t="shared" si="7"/>
        <v>466363.44</v>
      </c>
      <c r="L25" s="44"/>
    </row>
    <row r="26" spans="1:12" ht="15.6" x14ac:dyDescent="0.3">
      <c r="A26" s="39" t="s">
        <v>21</v>
      </c>
      <c r="B26" s="48" t="s">
        <v>64</v>
      </c>
      <c r="C26" s="75">
        <v>5</v>
      </c>
      <c r="D26" s="47" t="s">
        <v>42</v>
      </c>
      <c r="E26" s="45"/>
      <c r="F26" s="30"/>
      <c r="G26" s="80">
        <v>431818</v>
      </c>
      <c r="H26" s="62">
        <f t="shared" si="5"/>
        <v>2159090</v>
      </c>
      <c r="I26" s="42">
        <v>0.08</v>
      </c>
      <c r="J26" s="41">
        <f t="shared" si="6"/>
        <v>172727.2</v>
      </c>
      <c r="K26" s="41">
        <f t="shared" si="7"/>
        <v>2331817.2000000002</v>
      </c>
      <c r="L26" s="44"/>
    </row>
    <row r="27" spans="1:12" s="5" customFormat="1" ht="16.2" x14ac:dyDescent="0.3">
      <c r="A27" s="31" t="s">
        <v>22</v>
      </c>
      <c r="B27" s="48" t="s">
        <v>74</v>
      </c>
      <c r="C27" s="75">
        <v>9</v>
      </c>
      <c r="D27" s="47" t="s">
        <v>96</v>
      </c>
      <c r="E27" s="31"/>
      <c r="F27" s="34"/>
      <c r="G27" s="80">
        <v>431818</v>
      </c>
      <c r="H27" s="36"/>
      <c r="I27" s="37"/>
      <c r="J27" s="35"/>
      <c r="K27" s="35"/>
      <c r="L27" s="50"/>
    </row>
    <row r="28" spans="1:12" ht="15.6" x14ac:dyDescent="0.3">
      <c r="A28" s="39" t="s">
        <v>23</v>
      </c>
      <c r="B28" s="48" t="s">
        <v>66</v>
      </c>
      <c r="C28" s="75">
        <v>2</v>
      </c>
      <c r="D28" s="47" t="s">
        <v>42</v>
      </c>
      <c r="E28" s="45"/>
      <c r="F28" s="30"/>
      <c r="G28" s="80">
        <v>259091</v>
      </c>
      <c r="H28" s="62">
        <f t="shared" ref="H28:H50" si="8">G28*C28</f>
        <v>518182</v>
      </c>
      <c r="I28" s="42">
        <v>0.08</v>
      </c>
      <c r="J28" s="41">
        <f t="shared" ref="J28:J50" si="9">I28*H28</f>
        <v>41454.559999999998</v>
      </c>
      <c r="K28" s="41">
        <f t="shared" ref="K28:K50" si="10">+H28+J28</f>
        <v>559636.56000000006</v>
      </c>
      <c r="L28" s="49"/>
    </row>
    <row r="29" spans="1:12" ht="31.2" x14ac:dyDescent="0.3">
      <c r="A29" s="47" t="s">
        <v>24</v>
      </c>
      <c r="B29" s="48" t="s">
        <v>68</v>
      </c>
      <c r="C29" s="75">
        <v>1</v>
      </c>
      <c r="D29" s="78" t="s">
        <v>97</v>
      </c>
      <c r="E29" s="61"/>
      <c r="F29" s="61"/>
      <c r="G29" s="80">
        <v>259091</v>
      </c>
      <c r="H29" s="62">
        <f t="shared" si="8"/>
        <v>259091</v>
      </c>
      <c r="I29" s="42">
        <v>0.08</v>
      </c>
      <c r="J29" s="41">
        <f t="shared" si="9"/>
        <v>20727.28</v>
      </c>
      <c r="K29" s="41">
        <f t="shared" si="10"/>
        <v>279818.28000000003</v>
      </c>
      <c r="L29" s="59"/>
    </row>
    <row r="30" spans="1:12" ht="15.6" x14ac:dyDescent="0.3">
      <c r="A30" s="47" t="s">
        <v>25</v>
      </c>
      <c r="B30" s="48" t="s">
        <v>69</v>
      </c>
      <c r="C30" s="75">
        <v>1</v>
      </c>
      <c r="D30" s="47" t="s">
        <v>42</v>
      </c>
      <c r="E30" s="45"/>
      <c r="F30" s="30"/>
      <c r="G30" s="80">
        <v>431818</v>
      </c>
      <c r="H30" s="62">
        <f t="shared" si="8"/>
        <v>431818</v>
      </c>
      <c r="I30" s="42">
        <v>0.08</v>
      </c>
      <c r="J30" s="41">
        <f t="shared" si="9"/>
        <v>34545.440000000002</v>
      </c>
      <c r="K30" s="41">
        <f t="shared" si="10"/>
        <v>466363.44</v>
      </c>
      <c r="L30" s="59"/>
    </row>
    <row r="31" spans="1:12" ht="15.6" x14ac:dyDescent="0.3">
      <c r="A31" s="47" t="s">
        <v>26</v>
      </c>
      <c r="B31" s="48" t="s">
        <v>70</v>
      </c>
      <c r="C31" s="75">
        <v>1</v>
      </c>
      <c r="D31" s="47" t="s">
        <v>42</v>
      </c>
      <c r="E31" s="45"/>
      <c r="F31" s="30"/>
      <c r="G31" s="80">
        <v>86364</v>
      </c>
      <c r="H31" s="62">
        <f t="shared" si="8"/>
        <v>86364</v>
      </c>
      <c r="I31" s="42">
        <v>0.08</v>
      </c>
      <c r="J31" s="41">
        <f t="shared" si="9"/>
        <v>6909.12</v>
      </c>
      <c r="K31" s="41">
        <f t="shared" si="10"/>
        <v>93273.12</v>
      </c>
      <c r="L31" s="59"/>
    </row>
    <row r="32" spans="1:12" ht="15.6" x14ac:dyDescent="0.3">
      <c r="A32" s="47" t="s">
        <v>27</v>
      </c>
      <c r="B32" s="48" t="s">
        <v>71</v>
      </c>
      <c r="C32" s="75">
        <v>1</v>
      </c>
      <c r="D32" s="47" t="s">
        <v>42</v>
      </c>
      <c r="E32" s="39"/>
      <c r="F32" s="30"/>
      <c r="G32" s="80">
        <v>34545455</v>
      </c>
      <c r="H32" s="62">
        <f t="shared" si="8"/>
        <v>34545455</v>
      </c>
      <c r="I32" s="42">
        <v>0.08</v>
      </c>
      <c r="J32" s="41">
        <f t="shared" si="9"/>
        <v>2763636.4</v>
      </c>
      <c r="K32" s="41">
        <f t="shared" si="10"/>
        <v>37309091.399999999</v>
      </c>
      <c r="L32" s="59"/>
    </row>
    <row r="33" spans="1:12" ht="15.6" x14ac:dyDescent="0.3">
      <c r="A33" s="47" t="s">
        <v>28</v>
      </c>
      <c r="B33" s="48" t="s">
        <v>75</v>
      </c>
      <c r="C33" s="75">
        <v>8</v>
      </c>
      <c r="D33" s="47" t="s">
        <v>98</v>
      </c>
      <c r="E33" s="45"/>
      <c r="F33" s="61"/>
      <c r="G33" s="80">
        <v>431818</v>
      </c>
      <c r="H33" s="62">
        <f t="shared" si="8"/>
        <v>3454544</v>
      </c>
      <c r="I33" s="42">
        <v>0.08</v>
      </c>
      <c r="J33" s="41">
        <f t="shared" si="9"/>
        <v>276363.52000000002</v>
      </c>
      <c r="K33" s="41">
        <f t="shared" si="10"/>
        <v>3730907.52</v>
      </c>
      <c r="L33" s="59"/>
    </row>
    <row r="34" spans="1:12" ht="31.2" x14ac:dyDescent="0.3">
      <c r="A34" s="47">
        <v>106</v>
      </c>
      <c r="B34" s="73" t="s">
        <v>76</v>
      </c>
      <c r="C34" s="76" t="s">
        <v>0</v>
      </c>
      <c r="D34" s="71" t="s">
        <v>0</v>
      </c>
      <c r="E34" s="45"/>
      <c r="F34" s="61"/>
      <c r="G34" s="81" t="s">
        <v>0</v>
      </c>
      <c r="H34" s="62"/>
      <c r="I34" s="42"/>
      <c r="J34" s="41"/>
      <c r="K34" s="41"/>
      <c r="L34" s="59"/>
    </row>
    <row r="35" spans="1:12" ht="15.6" x14ac:dyDescent="0.3">
      <c r="A35" s="47" t="s">
        <v>29</v>
      </c>
      <c r="B35" s="48" t="s">
        <v>77</v>
      </c>
      <c r="C35" s="75">
        <v>10</v>
      </c>
      <c r="D35" s="47" t="s">
        <v>93</v>
      </c>
      <c r="E35" s="45"/>
      <c r="F35" s="61"/>
      <c r="G35" s="80">
        <v>431818</v>
      </c>
      <c r="H35" s="62">
        <f t="shared" si="8"/>
        <v>4318180</v>
      </c>
      <c r="I35" s="42">
        <v>0.08</v>
      </c>
      <c r="J35" s="41">
        <f t="shared" ref="J35:J50" si="11">I35*H35</f>
        <v>345454.4</v>
      </c>
      <c r="K35" s="41">
        <f t="shared" ref="K35:K50" si="12">+H35+J35</f>
        <v>4663634.4000000004</v>
      </c>
      <c r="L35" s="59"/>
    </row>
    <row r="36" spans="1:12" ht="15.6" x14ac:dyDescent="0.3">
      <c r="A36" s="47" t="s">
        <v>30</v>
      </c>
      <c r="B36" s="48" t="s">
        <v>78</v>
      </c>
      <c r="C36" s="75">
        <v>2</v>
      </c>
      <c r="D36" s="47" t="s">
        <v>93</v>
      </c>
      <c r="E36" s="45"/>
      <c r="F36" s="61"/>
      <c r="G36" s="80">
        <v>431818</v>
      </c>
      <c r="H36" s="62">
        <f t="shared" si="8"/>
        <v>863636</v>
      </c>
      <c r="I36" s="42">
        <v>0.08</v>
      </c>
      <c r="J36" s="41">
        <f t="shared" si="11"/>
        <v>69090.880000000005</v>
      </c>
      <c r="K36" s="41">
        <f t="shared" si="12"/>
        <v>932726.88</v>
      </c>
      <c r="L36" s="59"/>
    </row>
    <row r="37" spans="1:12" ht="15.6" x14ac:dyDescent="0.3">
      <c r="A37" s="47" t="s">
        <v>31</v>
      </c>
      <c r="B37" s="48" t="s">
        <v>79</v>
      </c>
      <c r="C37" s="75">
        <v>1</v>
      </c>
      <c r="D37" s="47" t="s">
        <v>93</v>
      </c>
      <c r="E37" s="45"/>
      <c r="F37" s="61"/>
      <c r="G37" s="80">
        <v>431818</v>
      </c>
      <c r="H37" s="62">
        <f t="shared" si="8"/>
        <v>431818</v>
      </c>
      <c r="I37" s="42">
        <v>0.08</v>
      </c>
      <c r="J37" s="41">
        <f t="shared" si="11"/>
        <v>34545.440000000002</v>
      </c>
      <c r="K37" s="41">
        <f t="shared" si="12"/>
        <v>466363.44</v>
      </c>
      <c r="L37" s="59"/>
    </row>
    <row r="38" spans="1:12" ht="31.2" x14ac:dyDescent="0.3">
      <c r="A38" s="47" t="s">
        <v>32</v>
      </c>
      <c r="B38" s="48" t="s">
        <v>80</v>
      </c>
      <c r="C38" s="75">
        <v>1</v>
      </c>
      <c r="D38" s="47" t="s">
        <v>95</v>
      </c>
      <c r="E38" s="45"/>
      <c r="F38" s="61"/>
      <c r="G38" s="80">
        <v>431818</v>
      </c>
      <c r="H38" s="62">
        <f t="shared" si="8"/>
        <v>431818</v>
      </c>
      <c r="I38" s="42">
        <v>0.08</v>
      </c>
      <c r="J38" s="41">
        <f t="shared" si="11"/>
        <v>34545.440000000002</v>
      </c>
      <c r="K38" s="41">
        <f t="shared" si="12"/>
        <v>466363.44</v>
      </c>
      <c r="L38" s="59"/>
    </row>
    <row r="39" spans="1:12" ht="62.4" x14ac:dyDescent="0.3">
      <c r="A39" s="47" t="s">
        <v>33</v>
      </c>
      <c r="B39" s="48" t="s">
        <v>81</v>
      </c>
      <c r="C39" s="75">
        <v>14</v>
      </c>
      <c r="D39" s="47" t="s">
        <v>95</v>
      </c>
      <c r="E39" s="45"/>
      <c r="F39" s="61"/>
      <c r="G39" s="80">
        <v>1295455</v>
      </c>
      <c r="H39" s="62">
        <f t="shared" si="8"/>
        <v>18136370</v>
      </c>
      <c r="I39" s="42">
        <v>0.08</v>
      </c>
      <c r="J39" s="41">
        <f t="shared" si="11"/>
        <v>1450909.6</v>
      </c>
      <c r="K39" s="41">
        <f t="shared" si="12"/>
        <v>19587279.600000001</v>
      </c>
      <c r="L39" s="59"/>
    </row>
    <row r="40" spans="1:12" ht="15.6" x14ac:dyDescent="0.3">
      <c r="A40" s="47" t="s">
        <v>34</v>
      </c>
      <c r="B40" s="48" t="s">
        <v>82</v>
      </c>
      <c r="C40" s="75">
        <v>1</v>
      </c>
      <c r="D40" s="47" t="s">
        <v>93</v>
      </c>
      <c r="E40" s="45"/>
      <c r="F40" s="61"/>
      <c r="G40" s="80">
        <v>1727273</v>
      </c>
      <c r="H40" s="62">
        <f t="shared" si="8"/>
        <v>1727273</v>
      </c>
      <c r="I40" s="42">
        <v>0.08</v>
      </c>
      <c r="J40" s="41">
        <f t="shared" si="11"/>
        <v>138181.84</v>
      </c>
      <c r="K40" s="41">
        <f t="shared" si="12"/>
        <v>1865454.84</v>
      </c>
      <c r="L40" s="59"/>
    </row>
    <row r="41" spans="1:12" ht="15.6" x14ac:dyDescent="0.3">
      <c r="A41" s="47" t="s">
        <v>35</v>
      </c>
      <c r="B41" s="48" t="s">
        <v>83</v>
      </c>
      <c r="C41" s="75">
        <v>1</v>
      </c>
      <c r="D41" s="47" t="s">
        <v>93</v>
      </c>
      <c r="E41" s="45"/>
      <c r="F41" s="61"/>
      <c r="G41" s="80">
        <v>431818</v>
      </c>
      <c r="H41" s="62">
        <f t="shared" si="8"/>
        <v>431818</v>
      </c>
      <c r="I41" s="42">
        <v>0.08</v>
      </c>
      <c r="J41" s="41">
        <f t="shared" si="11"/>
        <v>34545.440000000002</v>
      </c>
      <c r="K41" s="41">
        <f t="shared" si="12"/>
        <v>466363.44</v>
      </c>
      <c r="L41" s="59"/>
    </row>
    <row r="42" spans="1:12" ht="15.6" x14ac:dyDescent="0.3">
      <c r="A42" s="47" t="s">
        <v>36</v>
      </c>
      <c r="B42" s="48" t="s">
        <v>84</v>
      </c>
      <c r="C42" s="75">
        <v>1</v>
      </c>
      <c r="D42" s="47" t="s">
        <v>95</v>
      </c>
      <c r="E42" s="45"/>
      <c r="F42" s="61"/>
      <c r="G42" s="80">
        <v>431818</v>
      </c>
      <c r="H42" s="62">
        <f t="shared" si="8"/>
        <v>431818</v>
      </c>
      <c r="I42" s="42">
        <v>0.08</v>
      </c>
      <c r="J42" s="41">
        <f t="shared" si="11"/>
        <v>34545.440000000002</v>
      </c>
      <c r="K42" s="41">
        <f t="shared" si="12"/>
        <v>466363.44</v>
      </c>
      <c r="L42" s="59"/>
    </row>
    <row r="43" spans="1:12" ht="31.2" x14ac:dyDescent="0.3">
      <c r="A43" s="47" t="s">
        <v>37</v>
      </c>
      <c r="B43" s="48" t="s">
        <v>85</v>
      </c>
      <c r="C43" s="75">
        <v>1</v>
      </c>
      <c r="D43" s="78" t="s">
        <v>97</v>
      </c>
      <c r="E43" s="45"/>
      <c r="F43" s="61"/>
      <c r="G43" s="80">
        <v>431818</v>
      </c>
      <c r="H43" s="62">
        <f t="shared" si="8"/>
        <v>431818</v>
      </c>
      <c r="I43" s="42">
        <v>0.08</v>
      </c>
      <c r="J43" s="41">
        <f t="shared" si="11"/>
        <v>34545.440000000002</v>
      </c>
      <c r="K43" s="41">
        <f t="shared" si="12"/>
        <v>466363.44</v>
      </c>
      <c r="L43" s="59"/>
    </row>
    <row r="44" spans="1:12" ht="15.6" x14ac:dyDescent="0.3">
      <c r="A44" s="47" t="s">
        <v>57</v>
      </c>
      <c r="B44" s="48" t="s">
        <v>86</v>
      </c>
      <c r="C44" s="75">
        <v>1</v>
      </c>
      <c r="D44" s="47" t="s">
        <v>93</v>
      </c>
      <c r="E44" s="45"/>
      <c r="F44" s="61"/>
      <c r="G44" s="80">
        <v>431818</v>
      </c>
      <c r="H44" s="62">
        <f t="shared" si="8"/>
        <v>431818</v>
      </c>
      <c r="I44" s="42">
        <v>0.08</v>
      </c>
      <c r="J44" s="41">
        <f t="shared" si="11"/>
        <v>34545.440000000002</v>
      </c>
      <c r="K44" s="41">
        <f t="shared" si="12"/>
        <v>466363.44</v>
      </c>
      <c r="L44" s="59"/>
    </row>
    <row r="45" spans="1:12" ht="15.6" x14ac:dyDescent="0.3">
      <c r="A45" s="47" t="s">
        <v>58</v>
      </c>
      <c r="B45" s="48" t="s">
        <v>87</v>
      </c>
      <c r="C45" s="75">
        <v>1</v>
      </c>
      <c r="D45" s="47" t="s">
        <v>95</v>
      </c>
      <c r="E45" s="45"/>
      <c r="F45" s="61"/>
      <c r="G45" s="80">
        <v>431818</v>
      </c>
      <c r="H45" s="62">
        <f t="shared" si="8"/>
        <v>431818</v>
      </c>
      <c r="I45" s="42">
        <v>0.08</v>
      </c>
      <c r="J45" s="41">
        <f t="shared" si="11"/>
        <v>34545.440000000002</v>
      </c>
      <c r="K45" s="41">
        <f t="shared" si="12"/>
        <v>466363.44</v>
      </c>
      <c r="L45" s="59"/>
    </row>
    <row r="46" spans="1:12" ht="31.2" x14ac:dyDescent="0.3">
      <c r="A46" s="47">
        <v>107</v>
      </c>
      <c r="B46" s="73" t="s">
        <v>88</v>
      </c>
      <c r="C46" s="76" t="s">
        <v>0</v>
      </c>
      <c r="D46" s="71" t="s">
        <v>0</v>
      </c>
      <c r="E46" s="45"/>
      <c r="F46" s="61"/>
      <c r="G46" s="81" t="s">
        <v>0</v>
      </c>
      <c r="H46" s="62"/>
      <c r="I46" s="42"/>
      <c r="J46" s="41">
        <f t="shared" si="11"/>
        <v>0</v>
      </c>
      <c r="K46" s="41">
        <f t="shared" si="12"/>
        <v>0</v>
      </c>
      <c r="L46" s="59"/>
    </row>
    <row r="47" spans="1:12" ht="15.6" x14ac:dyDescent="0.3">
      <c r="A47" s="47" t="s">
        <v>38</v>
      </c>
      <c r="B47" s="48" t="s">
        <v>89</v>
      </c>
      <c r="C47" s="75">
        <v>1</v>
      </c>
      <c r="D47" s="47" t="s">
        <v>94</v>
      </c>
      <c r="E47" s="45"/>
      <c r="F47" s="61"/>
      <c r="G47" s="80">
        <v>1727273</v>
      </c>
      <c r="H47" s="62">
        <f t="shared" si="8"/>
        <v>1727273</v>
      </c>
      <c r="I47" s="42">
        <v>0.08</v>
      </c>
      <c r="J47" s="41">
        <f t="shared" si="11"/>
        <v>138181.84</v>
      </c>
      <c r="K47" s="41">
        <f t="shared" si="12"/>
        <v>1865454.84</v>
      </c>
      <c r="L47" s="59"/>
    </row>
    <row r="48" spans="1:12" ht="15.6" x14ac:dyDescent="0.3">
      <c r="A48" s="47" t="s">
        <v>39</v>
      </c>
      <c r="B48" s="48" t="s">
        <v>90</v>
      </c>
      <c r="C48" s="75">
        <v>1</v>
      </c>
      <c r="D48" s="47" t="s">
        <v>93</v>
      </c>
      <c r="E48" s="45"/>
      <c r="F48" s="61"/>
      <c r="G48" s="80">
        <v>431818</v>
      </c>
      <c r="H48" s="62">
        <f t="shared" si="8"/>
        <v>431818</v>
      </c>
      <c r="I48" s="42">
        <v>0.08</v>
      </c>
      <c r="J48" s="41">
        <f t="shared" si="11"/>
        <v>34545.440000000002</v>
      </c>
      <c r="K48" s="41">
        <f t="shared" si="12"/>
        <v>466363.44</v>
      </c>
      <c r="L48" s="59"/>
    </row>
    <row r="49" spans="1:12" ht="15.6" x14ac:dyDescent="0.3">
      <c r="A49" s="47" t="s">
        <v>40</v>
      </c>
      <c r="B49" s="48" t="s">
        <v>91</v>
      </c>
      <c r="C49" s="75">
        <v>1</v>
      </c>
      <c r="D49" s="47" t="s">
        <v>95</v>
      </c>
      <c r="E49" s="45"/>
      <c r="F49" s="61"/>
      <c r="G49" s="80">
        <v>431818</v>
      </c>
      <c r="H49" s="62">
        <f t="shared" si="8"/>
        <v>431818</v>
      </c>
      <c r="I49" s="42">
        <v>0.08</v>
      </c>
      <c r="J49" s="41">
        <f t="shared" si="11"/>
        <v>34545.440000000002</v>
      </c>
      <c r="K49" s="41">
        <f t="shared" si="12"/>
        <v>466363.44</v>
      </c>
      <c r="L49" s="59"/>
    </row>
    <row r="50" spans="1:12" ht="46.8" x14ac:dyDescent="0.3">
      <c r="A50" s="47" t="s">
        <v>41</v>
      </c>
      <c r="B50" s="74" t="s">
        <v>92</v>
      </c>
      <c r="C50" s="77">
        <v>10</v>
      </c>
      <c r="D50" s="79" t="s">
        <v>99</v>
      </c>
      <c r="E50" s="40"/>
      <c r="F50" s="30"/>
      <c r="G50" s="80">
        <v>863636</v>
      </c>
      <c r="H50" s="62">
        <f t="shared" si="8"/>
        <v>8636360</v>
      </c>
      <c r="I50" s="42">
        <v>0.08</v>
      </c>
      <c r="J50" s="41">
        <f t="shared" si="11"/>
        <v>690908.8</v>
      </c>
      <c r="K50" s="41">
        <f t="shared" si="12"/>
        <v>9327268.8000000007</v>
      </c>
      <c r="L50" s="59"/>
    </row>
    <row r="51" spans="1:12" ht="15.6" x14ac:dyDescent="0.3">
      <c r="A51" s="51"/>
      <c r="B51" s="52"/>
      <c r="C51" s="51"/>
      <c r="D51" s="51"/>
      <c r="E51" s="53"/>
      <c r="F51" s="54"/>
      <c r="G51" s="55"/>
      <c r="H51" s="56"/>
      <c r="I51" s="57"/>
      <c r="J51" s="55"/>
      <c r="K51" s="55"/>
      <c r="L51" s="58"/>
    </row>
    <row r="52" spans="1:12" ht="15.6" x14ac:dyDescent="0.3">
      <c r="A52" s="63" t="s">
        <v>15</v>
      </c>
      <c r="B52" s="63"/>
      <c r="C52" s="63"/>
      <c r="D52" s="63"/>
      <c r="E52" s="63"/>
      <c r="F52" s="63"/>
      <c r="G52" s="63"/>
      <c r="H52" s="24"/>
      <c r="I52" s="25"/>
      <c r="J52" s="26"/>
      <c r="K52" s="24">
        <f>SUM(H8:H51)</f>
        <v>942659087</v>
      </c>
      <c r="L52" s="27"/>
    </row>
    <row r="53" spans="1:12" ht="15.6" x14ac:dyDescent="0.3">
      <c r="A53" s="63" t="s">
        <v>10</v>
      </c>
      <c r="B53" s="63"/>
      <c r="C53" s="63"/>
      <c r="D53" s="63"/>
      <c r="E53" s="63"/>
      <c r="F53" s="63"/>
      <c r="G53" s="63"/>
      <c r="H53" s="24"/>
      <c r="I53" s="25"/>
      <c r="J53" s="26"/>
      <c r="K53" s="24">
        <f>SUM(J8:J51)</f>
        <v>75412726.959999979</v>
      </c>
      <c r="L53" s="27"/>
    </row>
    <row r="54" spans="1:12" ht="15.6" x14ac:dyDescent="0.3">
      <c r="A54" s="63" t="s">
        <v>16</v>
      </c>
      <c r="B54" s="63"/>
      <c r="C54" s="63"/>
      <c r="D54" s="63"/>
      <c r="E54" s="63"/>
      <c r="F54" s="63"/>
      <c r="G54" s="63"/>
      <c r="H54" s="28"/>
      <c r="I54" s="28"/>
      <c r="J54" s="29"/>
      <c r="K54" s="24">
        <f>K52+K53</f>
        <v>1018071813.96</v>
      </c>
      <c r="L54" s="27"/>
    </row>
    <row r="55" spans="1:12" ht="16.8" x14ac:dyDescent="0.3">
      <c r="A55" s="64" t="s">
        <v>44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1:12" x14ac:dyDescent="0.3">
      <c r="E56" s="8"/>
      <c r="F56" s="8"/>
      <c r="G56" s="16"/>
      <c r="H56" s="7"/>
      <c r="I56" s="7"/>
      <c r="J56" s="7"/>
      <c r="K56" s="7"/>
    </row>
    <row r="57" spans="1:12" x14ac:dyDescent="0.3">
      <c r="G57" s="17"/>
      <c r="H57" s="4"/>
      <c r="I57" s="4"/>
      <c r="J57" s="11"/>
      <c r="K57" s="12"/>
      <c r="L57" s="14"/>
    </row>
    <row r="58" spans="1:12" x14ac:dyDescent="0.3">
      <c r="G58" s="17"/>
      <c r="J58" s="11"/>
      <c r="K58" s="12"/>
      <c r="L58" s="14"/>
    </row>
    <row r="59" spans="1:12" x14ac:dyDescent="0.3">
      <c r="E59" s="9"/>
      <c r="F59" s="9"/>
      <c r="G59" s="17"/>
      <c r="H59" s="4"/>
      <c r="I59" s="4"/>
      <c r="J59" s="11"/>
      <c r="K59" s="12"/>
      <c r="L59" s="14"/>
    </row>
    <row r="60" spans="1:12" x14ac:dyDescent="0.3">
      <c r="G60" s="18"/>
      <c r="J60" s="11"/>
      <c r="K60" s="12"/>
      <c r="L60" s="14"/>
    </row>
    <row r="61" spans="1:12" x14ac:dyDescent="0.3">
      <c r="E61" s="10"/>
      <c r="F61" s="10"/>
      <c r="G61" s="18"/>
      <c r="H61" s="6"/>
      <c r="I61" s="6"/>
      <c r="J61" s="11"/>
      <c r="K61" s="12"/>
      <c r="L61" s="14"/>
    </row>
    <row r="62" spans="1:12" x14ac:dyDescent="0.3">
      <c r="K62" s="13"/>
    </row>
  </sheetData>
  <autoFilter ref="A7:L50" xr:uid="{00000000-0001-0000-0000-000000000000}"/>
  <mergeCells count="19">
    <mergeCell ref="A1:L1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A52:G52"/>
    <mergeCell ref="A54:G54"/>
    <mergeCell ref="A53:G53"/>
    <mergeCell ref="A55:L55"/>
    <mergeCell ref="K6:K7"/>
    <mergeCell ref="L6:L7"/>
  </mergeCells>
  <phoneticPr fontId="18" type="noConversion"/>
  <conditionalFormatting sqref="H52:H53">
    <cfRule type="expression" dxfId="1" priority="2">
      <formula>$H$64&lt;&gt;$L$64</formula>
    </cfRule>
  </conditionalFormatting>
  <conditionalFormatting sqref="K52:K54">
    <cfRule type="expression" dxfId="0" priority="1">
      <formula>$H$64&lt;&gt;$L$64</formula>
    </cfRule>
  </conditionalFormatting>
  <dataValidations count="1">
    <dataValidation type="whole" showErrorMessage="1" errorTitle="Lưu ý" error="Nhập số nguyên lớn hơn -999,999,999,999,999 và nhỏ hơn 999,999,999,999,999" promptTitle="Lưu ý" prompt="Nhập số nguyên lớn hơn -999,999,999,999,999 và nhỏ hơn 999,999,999,999,999" sqref="G9:G50" xr:uid="{64D64113-2DB1-4297-A28A-6D3FE543D2D3}">
      <formula1>-999999999999999</formula1>
      <formula2>999999999999999</formula2>
    </dataValidation>
  </dataValidations>
  <printOptions horizontalCentered="1"/>
  <pageMargins left="0.18" right="0.17" top="0.34" bottom="0.32" header="0.11" footer="0.14000000000000001"/>
  <pageSetup paperSize="9" scale="63"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Scada_TTLL</vt:lpstr>
      <vt:lpstr>Scada_TTLL!Print_Area</vt:lpstr>
      <vt:lpstr>Scada_TTLL!Print_Titles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2025-03-28T02:44:09Z</dcterms:created>
  <dcterms:modified xsi:type="dcterms:W3CDTF">2026-08-21T05:08:12Z</dcterms:modified>
  <cp:category/>
</cp:coreProperties>
</file>