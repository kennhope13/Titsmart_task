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01305828-27FC-4735-AA57-D92F4936A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ada_TTLL" sheetId="1" r:id="rId1"/>
    <sheet name="Thông tin dự án" sheetId="2" r:id="rId2"/>
  </sheets>
  <definedNames>
    <definedName name="_xlnm._FilterDatabase" localSheetId="0" hidden="1">Scada_TTLL!$A$7:$L$71</definedName>
    <definedName name="_xlnm.Print_Area" localSheetId="0">Scada_TTLL!$A$1:$L$76</definedName>
    <definedName name="_xlnm.Print_Titles" localSheetId="0">Scada_TTLL!$6:$7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3" i="1"/>
  <c r="A2" i="1"/>
  <c r="K74" i="1"/>
  <c r="K73" i="1"/>
  <c r="H18" i="1"/>
  <c r="J18" i="1" s="1"/>
  <c r="K18" i="1" s="1"/>
  <c r="H19" i="1"/>
  <c r="J19" i="1" s="1"/>
  <c r="K19" i="1" s="1"/>
  <c r="H20" i="1"/>
  <c r="J20" i="1" s="1"/>
  <c r="K20" i="1" s="1"/>
  <c r="H22" i="1"/>
  <c r="J22" i="1" s="1"/>
  <c r="K22" i="1" s="1"/>
  <c r="H23" i="1"/>
  <c r="J23" i="1"/>
  <c r="K23" i="1" s="1"/>
  <c r="H24" i="1"/>
  <c r="J24" i="1"/>
  <c r="K24" i="1" s="1"/>
  <c r="H26" i="1"/>
  <c r="J26" i="1"/>
  <c r="K26" i="1" s="1"/>
  <c r="H27" i="1"/>
  <c r="J27" i="1"/>
  <c r="K27" i="1" s="1"/>
  <c r="H28" i="1"/>
  <c r="J28" i="1"/>
  <c r="K28" i="1"/>
  <c r="H31" i="1"/>
  <c r="J31" i="1"/>
  <c r="K31" i="1"/>
  <c r="H32" i="1"/>
  <c r="J32" i="1" s="1"/>
  <c r="K32" i="1" s="1"/>
  <c r="H33" i="1"/>
  <c r="J33" i="1" s="1"/>
  <c r="K33" i="1" s="1"/>
  <c r="H34" i="1"/>
  <c r="J34" i="1" s="1"/>
  <c r="K34" i="1" s="1"/>
  <c r="H35" i="1"/>
  <c r="J35" i="1" s="1"/>
  <c r="K35" i="1" s="1"/>
  <c r="H37" i="1"/>
  <c r="J37" i="1" s="1"/>
  <c r="K37" i="1" s="1"/>
  <c r="H38" i="1"/>
  <c r="J38" i="1" s="1"/>
  <c r="K38" i="1" s="1"/>
  <c r="H39" i="1"/>
  <c r="J39" i="1"/>
  <c r="K39" i="1" s="1"/>
  <c r="H40" i="1"/>
  <c r="J40" i="1"/>
  <c r="K40" i="1" s="1"/>
  <c r="H42" i="1"/>
  <c r="J42" i="1"/>
  <c r="K42" i="1" s="1"/>
  <c r="H43" i="1"/>
  <c r="J43" i="1"/>
  <c r="K43" i="1" s="1"/>
  <c r="H44" i="1"/>
  <c r="J44" i="1"/>
  <c r="K44" i="1"/>
  <c r="H45" i="1"/>
  <c r="J45" i="1"/>
  <c r="K45" i="1"/>
  <c r="H47" i="1"/>
  <c r="J47" i="1"/>
  <c r="K47" i="1"/>
  <c r="H48" i="1"/>
  <c r="J48" i="1" s="1"/>
  <c r="K48" i="1" s="1"/>
  <c r="H49" i="1"/>
  <c r="J49" i="1" s="1"/>
  <c r="K49" i="1" s="1"/>
  <c r="H50" i="1"/>
  <c r="J50" i="1" s="1"/>
  <c r="K50" i="1" s="1"/>
  <c r="H51" i="1"/>
  <c r="J51" i="1" s="1"/>
  <c r="K51" i="1" s="1"/>
  <c r="H54" i="1"/>
  <c r="J54" i="1"/>
  <c r="K54" i="1" s="1"/>
  <c r="H55" i="1"/>
  <c r="J55" i="1"/>
  <c r="K55" i="1" s="1"/>
  <c r="H56" i="1"/>
  <c r="J56" i="1"/>
  <c r="K56" i="1" s="1"/>
  <c r="H57" i="1"/>
  <c r="J57" i="1"/>
  <c r="K57" i="1" s="1"/>
  <c r="H58" i="1"/>
  <c r="J58" i="1"/>
  <c r="K58" i="1" s="1"/>
  <c r="H59" i="1"/>
  <c r="J59" i="1"/>
  <c r="K59" i="1"/>
  <c r="H60" i="1"/>
  <c r="J60" i="1"/>
  <c r="K60" i="1"/>
  <c r="H62" i="1"/>
  <c r="J62" i="1"/>
  <c r="K62" i="1"/>
  <c r="H63" i="1"/>
  <c r="J63" i="1"/>
  <c r="K63" i="1"/>
  <c r="H64" i="1"/>
  <c r="J64" i="1" s="1"/>
  <c r="K64" i="1" s="1"/>
  <c r="H65" i="1"/>
  <c r="J65" i="1" s="1"/>
  <c r="K65" i="1" s="1"/>
  <c r="H66" i="1"/>
  <c r="J66" i="1" s="1"/>
  <c r="K66" i="1" s="1"/>
  <c r="H67" i="1"/>
  <c r="J67" i="1" s="1"/>
  <c r="K67" i="1" s="1"/>
  <c r="H68" i="1"/>
  <c r="J68" i="1" s="1"/>
  <c r="K68" i="1" s="1"/>
  <c r="H69" i="1"/>
  <c r="J69" i="1" s="1"/>
  <c r="K69" i="1" s="1"/>
  <c r="H70" i="1"/>
  <c r="J70" i="1"/>
  <c r="K70" i="1" s="1"/>
  <c r="H71" i="1"/>
  <c r="J71" i="1"/>
  <c r="K71" i="1"/>
  <c r="H12" i="1"/>
  <c r="J12" i="1"/>
  <c r="K12" i="1" s="1"/>
  <c r="H13" i="1"/>
  <c r="J13" i="1"/>
  <c r="K13" i="1" s="1"/>
  <c r="H14" i="1"/>
  <c r="J14" i="1" s="1"/>
  <c r="K14" i="1" s="1"/>
  <c r="H15" i="1"/>
  <c r="J15" i="1" s="1"/>
  <c r="K15" i="1" s="1"/>
  <c r="K11" i="1"/>
  <c r="J11" i="1"/>
  <c r="H11" i="1"/>
  <c r="K75" i="1" l="1"/>
</calcChain>
</file>

<file path=xl/sharedStrings.xml><?xml version="1.0" encoding="utf-8"?>
<sst xmlns="http://schemas.openxmlformats.org/spreadsheetml/2006/main" count="228" uniqueCount="150">
  <si>
    <t/>
  </si>
  <si>
    <t>Ghi chú</t>
  </si>
  <si>
    <t>Mã hiệu</t>
  </si>
  <si>
    <t>Nguồn sản xuất</t>
  </si>
  <si>
    <t>Đơn giá</t>
  </si>
  <si>
    <t>Stt</t>
  </si>
  <si>
    <t>Mô tả công việc mời thầu</t>
  </si>
  <si>
    <t xml:space="preserve">Đơn vị tính </t>
  </si>
  <si>
    <t>Khối lượng</t>
  </si>
  <si>
    <t>Thành tiền
trước thuế VAT</t>
  </si>
  <si>
    <t>Thuế VAT</t>
  </si>
  <si>
    <t>%</t>
  </si>
  <si>
    <t>Tiền thuế</t>
  </si>
  <si>
    <t>Tổng tiền</t>
  </si>
  <si>
    <t>PHỤ LỤC 01: BẢNG CHI TIẾT GIÁ TRỊ HỢP ĐỒNG</t>
  </si>
  <si>
    <t>Tổng giá trị trước thuế (VNĐ)</t>
  </si>
  <si>
    <t>Tổng giá trị sau thuế (VNĐ)</t>
  </si>
  <si>
    <t>lô</t>
  </si>
  <si>
    <t xml:space="preserve">Công trình : </t>
  </si>
  <si>
    <t xml:space="preserve">Hạng mục: </t>
  </si>
  <si>
    <t>Hợp đồng số:</t>
  </si>
  <si>
    <t>Chủ đầu tư :</t>
  </si>
  <si>
    <t>Địa chỉ :</t>
  </si>
  <si>
    <t>A</t>
  </si>
  <si>
    <t>HẠNG MỤC TTLL TRẠM BIẾN ÁP 110KV PHƯỚC ĐÔNG 6</t>
  </si>
  <si>
    <t>HỆ THỐNG THÔNG TIN LIÊN LẠC DO BÊN A CUNG CẤP TẠI KHO TỔNG CÔNG TY ĐIỆN LỰC MIỀN NAM, NHÀ THẦU VẬN CHUYỂN VÀ LẮP ĐẶT HOÀN THIỆN TẠI CÔNG TRƯỜNG</t>
  </si>
  <si>
    <t>33.1</t>
  </si>
  <si>
    <t>Tủ Thông tin liên lạc, (đặt trong nhà) được trang bị (tủ bao gồm):</t>
  </si>
  <si>
    <t>33.1.1</t>
  </si>
  <si>
    <t>02 bộ Ethernet Switch Distribute - (Kèm đầy đủ phụ kiện, module, phần mềm cài đặt, licence) - Mạng OT</t>
  </si>
  <si>
    <t>Bộ</t>
  </si>
  <si>
    <t>33.1.2</t>
  </si>
  <si>
    <t>Giá phối quang ODF-24FO lắp tủ rack 19″</t>
  </si>
  <si>
    <t>33.1.3</t>
  </si>
  <si>
    <t>Hệ thống Firewall gồm 01 Thiết bị SCADA Firewall độc lập, hoạt động chế độ active/standby</t>
  </si>
  <si>
    <t>33.1.4</t>
  </si>
  <si>
    <t>Thiết bị điện thoại IP phone</t>
  </si>
  <si>
    <t>33.1.5</t>
  </si>
  <si>
    <t>Phụ kiện lắp đặt</t>
  </si>
  <si>
    <t>T.bộ</t>
  </si>
  <si>
    <t>HỆ THỐNG THÔNG TIN LIÊN LẠC DO NHÀ THẦU CUNG CẤP, VẬN CHUYỂN VÀ LẮP ĐẶT HOÀN THIỆN TẠI CÔNG TRÌNH - PHẦN THIẾT BỊ</t>
  </si>
  <si>
    <t>34.1</t>
  </si>
  <si>
    <t>Tại TBA 110kV PHƯỚC ĐÔNG 6 XDM</t>
  </si>
  <si>
    <t>34.1.1</t>
  </si>
  <si>
    <t>Thiết bị Ethernet Switch Distribute - (Kèm đầy đủ phụ kiện, module, phần mềm cài đặt, licence) Mạng IT</t>
  </si>
  <si>
    <t>34.1.2</t>
  </si>
  <si>
    <t>Thiết bị Modul quang SFP</t>
  </si>
  <si>
    <t>34.1.3</t>
  </si>
  <si>
    <t>Thiết bị Module ghép stack cho 2 Switch: - Kèm cáp ghép stackable</t>
  </si>
  <si>
    <t>34.2</t>
  </si>
  <si>
    <t>TỦ THIẾT BỊ TẠI TBA 110kV PHƯỚC ĐỨC</t>
  </si>
  <si>
    <t>34.2.1</t>
  </si>
  <si>
    <t>Thiết bị Modul SFP</t>
  </si>
  <si>
    <t>34.2.2</t>
  </si>
  <si>
    <t>Thiết bị Ethernet Switch Distribute - (Kèm đầy đủ phụ kiện, modul, phần mềm cài đặt, licence) - Mạng OT</t>
  </si>
  <si>
    <t>34.2.3</t>
  </si>
  <si>
    <t>Thiết bị Modul ghép stack cho 2 Switch</t>
  </si>
  <si>
    <t>34.3</t>
  </si>
  <si>
    <t>TẠI TBA 110kV HÒA THÀNH</t>
  </si>
  <si>
    <t>34.3.1</t>
  </si>
  <si>
    <t>34.3.2</t>
  </si>
  <si>
    <t>34.3.3</t>
  </si>
  <si>
    <t>T/bộ</t>
  </si>
  <si>
    <t>HỆ THỐNG THÔNG TIN LIÊN LẠC DO NHÀ THẦU CUNG CẤP, VẬN CHUYỂN VÀ LẮP ĐẶT HOÀN THIỆN TẠI CÔNG TRÌNH - PHẦN VẬT LIỆU</t>
  </si>
  <si>
    <t>35.1</t>
  </si>
  <si>
    <t>Tủ thiết bị TTLL, bao gồm:</t>
  </si>
  <si>
    <t>35.1.1</t>
  </si>
  <si>
    <t>Cáp quang non-metallic (FO) (đấu nối từ hộp ODF ra hộp Joint box)</t>
  </si>
  <si>
    <t>m</t>
  </si>
  <si>
    <t>35.1.2</t>
  </si>
  <si>
    <t>Ống nhựa F42</t>
  </si>
  <si>
    <t>35.1.3</t>
  </si>
  <si>
    <t>Cáp tiếp địa 25mm2</t>
  </si>
  <si>
    <t>35.1.4</t>
  </si>
  <si>
    <t>Cáp đồng bọc 2x4mm2</t>
  </si>
  <si>
    <t>35.1.5</t>
  </si>
  <si>
    <t>Vật liệu phụ (Băng keo cách điện, đầu cosse, nhãn, dây rút, co nối ống…)</t>
  </si>
  <si>
    <t>35.2</t>
  </si>
  <si>
    <t>TẠI TBA 110kV PHƯỚC ĐỨC</t>
  </si>
  <si>
    <t>35.2.1</t>
  </si>
  <si>
    <t>Cáp tín hiệu 5px2x0,5 có bọc giáp</t>
  </si>
  <si>
    <t>35.2.2</t>
  </si>
  <si>
    <t>35.2.3</t>
  </si>
  <si>
    <t>Cáp điện đơn mềm 1x2,5mm2</t>
  </si>
  <si>
    <t>35.2.4</t>
  </si>
  <si>
    <t>Vật liệu phụ (cổ cáp, gen, coss, băng keo điện, dây gút, ốc vít, nhãn cáp…)</t>
  </si>
  <si>
    <t>35.3</t>
  </si>
  <si>
    <t>35.3.1</t>
  </si>
  <si>
    <t>35.3.2</t>
  </si>
  <si>
    <t>35.3.3</t>
  </si>
  <si>
    <t>35.3.4</t>
  </si>
  <si>
    <t>35.4</t>
  </si>
  <si>
    <t>TẠI TRỤ DỪNG CUỐI ĐƯỜNG DÂY LỘ RA 110KV TRẠM 220KV BÀU ĐỒN</t>
  </si>
  <si>
    <t>35.4.1</t>
  </si>
  <si>
    <t>Hộp nối cáp quang tại cột - Loại 03 đầu vào ra 24/24/24</t>
  </si>
  <si>
    <t>Hộp</t>
  </si>
  <si>
    <t>35.4.2</t>
  </si>
  <si>
    <t>Dây cáp quang OPGW-50</t>
  </si>
  <si>
    <t>35.4.3</t>
  </si>
  <si>
    <t>Chuỗi néo dây cáp quang OPGW-50, NCQ-50</t>
  </si>
  <si>
    <t>Chuỗi</t>
  </si>
  <si>
    <t>35.4.4</t>
  </si>
  <si>
    <t>Kẹp loại 1 dây cáp quang</t>
  </si>
  <si>
    <t>Cái</t>
  </si>
  <si>
    <t>B</t>
  </si>
  <si>
    <t>HẠNG MỤC SCADA TRẠM BIẾN ÁP 110KV PHƯỚC ĐÔNG 6</t>
  </si>
  <si>
    <t>HỆ THỐNG SCADA DO BÊN A CUNG CẤP TẠI KHO TỔNG CÔNG TY ĐIỆN LỰC MIỀN NAM, NHÀ THẦU VẬN CHUYỂN VÀ LẮP ĐẶT HOÀN THIỆN TẠI CÔNG TRƯỜNG</t>
  </si>
  <si>
    <t>36.1</t>
  </si>
  <si>
    <t>Tủ thiết bị SCADA, bao gồm:</t>
  </si>
  <si>
    <t>36.1.1</t>
  </si>
  <si>
    <t>01 bộ Máy tính Gateway</t>
  </si>
  <si>
    <t>36.1.2</t>
  </si>
  <si>
    <t>Phần mềm Gateway và HMI</t>
  </si>
  <si>
    <t>36.1.3</t>
  </si>
  <si>
    <t>Thiết bị đồng bộ thời gian GPS clock</t>
  </si>
  <si>
    <t>36.1.4</t>
  </si>
  <si>
    <t>03 Thiết bị Ethernet switch Access (trạm đầu tư mới)</t>
  </si>
  <si>
    <t>36.1.5</t>
  </si>
  <si>
    <t>01 bộ Inverter 220VAC &amp; 110VDC -220VAC, 2000VA (power supply)</t>
  </si>
  <si>
    <t>36.1.6</t>
  </si>
  <si>
    <t>Đào tạo chuyển giao công nghệ</t>
  </si>
  <si>
    <t>36.1.7</t>
  </si>
  <si>
    <t>Phụ kiện đi kèm</t>
  </si>
  <si>
    <t>HỆ THỐNG SCADA DO NHÀ THẦU CUNG CẤP, VẬN CHUYỂN VÀ LẮP ĐẶT HOÀN THIỆN TẠI CÔNG TRÌNH</t>
  </si>
  <si>
    <t>37.1</t>
  </si>
  <si>
    <t>Hệ thống Máy tính HMI , bao gồm: + 01 bộ Máy tính HMI (Desktop) (01 bộ) + Màn hình LCD 21 kết nối và sử dụng cho máy tính Gateway và màn hình cho máy tính kỹ sư (03 bộ)</t>
  </si>
  <si>
    <t>37.2</t>
  </si>
  <si>
    <t>Thiết bị Máy in laser A4</t>
  </si>
  <si>
    <t>37.3</t>
  </si>
  <si>
    <t>Ống nhựa ruột gà PVC Ø25</t>
  </si>
  <si>
    <t>37.4</t>
  </si>
  <si>
    <t>Cáp nguồn 2 x 2,5mm2</t>
  </si>
  <si>
    <t>37.5</t>
  </si>
  <si>
    <t>Cáp truyền dữ liệu data có bọc giáp 4 ruột (Modbus)</t>
  </si>
  <si>
    <t>37.6</t>
  </si>
  <si>
    <t>Cáp mạng SFTPCAT6</t>
  </si>
  <si>
    <t>37.7</t>
  </si>
  <si>
    <t>Dây nhảy Cáp quang singlemode</t>
  </si>
  <si>
    <t>sợi</t>
  </si>
  <si>
    <t>37.8</t>
  </si>
  <si>
    <t>Dây nhảy Cáp quang multimode</t>
  </si>
  <si>
    <t>37.9</t>
  </si>
  <si>
    <t>Đầu cáp mạng RJ45</t>
  </si>
  <si>
    <t>cái</t>
  </si>
  <si>
    <t>37.10</t>
  </si>
  <si>
    <t>Trạm biến áp 110kV Phước Đông 6</t>
  </si>
  <si>
    <t>Hệ thống TTLL &amp; Scada</t>
  </si>
  <si>
    <t xml:space="preserve">       /2026/HĐ-PDN-TSM ngày   /   /2026)</t>
  </si>
  <si>
    <t>Ban quản lý dự án điện Miền Nam</t>
  </si>
  <si>
    <t>Tây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</si>
</sst>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##,###.0"/>
    <numFmt numFmtId="168" formatCode="#,##0.0"/>
  </numFmts>
  <fonts count="21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charset val="163"/>
      <scheme val="minor"/>
    </font>
    <font>
      <i/>
      <sz val="12"/>
      <color rgb="FF000000"/>
      <name val="Times New Roman"/>
      <family val="1"/>
    </font>
    <font>
      <sz val="1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i/>
      <sz val="13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  <charset val="163"/>
    </font>
    <font>
      <sz val="12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4" fontId="7" fillId="0" borderId="0" applyFont="0" applyFill="0" applyBorder="0" applyAlignment="0" applyProtection="0"/>
    <xf numFmtId="0" fontId="9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6" fontId="11" fillId="0" borderId="0" xfId="3" applyNumberFormat="1" applyFont="1" applyAlignment="1">
      <alignment horizontal="center" vertical="center"/>
    </xf>
    <xf numFmtId="166" fontId="0" fillId="0" borderId="0" xfId="3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0" fontId="0" fillId="0" borderId="0" xfId="4" applyNumberFormat="1" applyFont="1" applyAlignment="1">
      <alignment vertical="center"/>
    </xf>
    <xf numFmtId="0" fontId="0" fillId="3" borderId="0" xfId="0" applyFill="1" applyAlignment="1">
      <alignment horizontal="center" vertical="center"/>
    </xf>
    <xf numFmtId="10" fontId="11" fillId="3" borderId="0" xfId="4" applyNumberFormat="1" applyFont="1" applyFill="1" applyAlignment="1">
      <alignment vertical="center"/>
    </xf>
    <xf numFmtId="166" fontId="0" fillId="3" borderId="0" xfId="3" applyNumberFormat="1" applyFont="1" applyFill="1" applyAlignment="1">
      <alignment vertical="center"/>
    </xf>
    <xf numFmtId="166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1" fillId="4" borderId="0" xfId="0" applyFont="1" applyFill="1" applyAlignment="1">
      <alignment vertical="center" wrapText="1"/>
    </xf>
    <xf numFmtId="0" fontId="12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165" fontId="6" fillId="4" borderId="2" xfId="1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166" fontId="6" fillId="4" borderId="2" xfId="3" applyNumberFormat="1" applyFont="1" applyFill="1" applyBorder="1" applyAlignment="1">
      <alignment horizontal="right" vertical="center"/>
    </xf>
    <xf numFmtId="0" fontId="8" fillId="4" borderId="2" xfId="0" applyFont="1" applyFill="1" applyBorder="1" applyAlignment="1">
      <alignment vertical="center" wrapText="1"/>
    </xf>
    <xf numFmtId="0" fontId="18" fillId="0" borderId="0" xfId="0" applyFont="1"/>
    <xf numFmtId="0" fontId="16" fillId="0" borderId="0" xfId="0" applyFont="1"/>
    <xf numFmtId="0" fontId="0" fillId="0" borderId="1" xfId="0" applyBorder="1" applyAlignment="1">
      <alignment vertical="center"/>
    </xf>
    <xf numFmtId="41" fontId="12" fillId="4" borderId="0" xfId="0" applyNumberFormat="1" applyFont="1" applyFill="1" applyAlignment="1">
      <alignment horizontal="center" vertical="center"/>
    </xf>
    <xf numFmtId="41" fontId="6" fillId="4" borderId="2" xfId="3" applyNumberFormat="1" applyFont="1" applyFill="1" applyBorder="1" applyAlignment="1">
      <alignment horizontal="left" vertical="center"/>
    </xf>
    <xf numFmtId="41" fontId="10" fillId="4" borderId="1" xfId="3" applyNumberFormat="1" applyFont="1" applyFill="1" applyBorder="1" applyAlignment="1">
      <alignment horizontal="right" vertical="center" wrapText="1"/>
    </xf>
    <xf numFmtId="41" fontId="10" fillId="4" borderId="1" xfId="3" applyNumberFormat="1" applyFont="1" applyFill="1" applyBorder="1" applyAlignment="1">
      <alignment vertical="center" wrapText="1"/>
    </xf>
    <xf numFmtId="41" fontId="11" fillId="0" borderId="0" xfId="3" applyNumberFormat="1" applyFont="1" applyAlignment="1">
      <alignment vertical="center"/>
    </xf>
    <xf numFmtId="41" fontId="0" fillId="0" borderId="0" xfId="3" applyNumberFormat="1" applyFont="1" applyAlignment="1">
      <alignment vertical="center"/>
    </xf>
    <xf numFmtId="41" fontId="0" fillId="0" borderId="0" xfId="0" applyNumberFormat="1" applyAlignment="1">
      <alignment vertical="center"/>
    </xf>
    <xf numFmtId="41" fontId="6" fillId="4" borderId="2" xfId="3" applyNumberFormat="1" applyFont="1" applyFill="1" applyBorder="1" applyAlignment="1">
      <alignment horizontal="right" vertical="center"/>
    </xf>
    <xf numFmtId="41" fontId="14" fillId="4" borderId="1" xfId="0" applyNumberFormat="1" applyFont="1" applyFill="1" applyBorder="1" applyAlignment="1">
      <alignment horizontal="center" vertical="center" wrapText="1"/>
    </xf>
    <xf numFmtId="41" fontId="14" fillId="2" borderId="0" xfId="0" applyNumberFormat="1" applyFont="1" applyFill="1" applyAlignment="1">
      <alignment vertical="center" wrapText="1"/>
    </xf>
    <xf numFmtId="9" fontId="12" fillId="4" borderId="0" xfId="0" applyNumberFormat="1" applyFont="1" applyFill="1" applyAlignment="1">
      <alignment horizontal="center" vertical="center"/>
    </xf>
    <xf numFmtId="9" fontId="6" fillId="4" borderId="2" xfId="4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 wrapText="1"/>
    </xf>
    <xf numFmtId="9" fontId="10" fillId="4" borderId="1" xfId="3" applyNumberFormat="1" applyFont="1" applyFill="1" applyBorder="1" applyAlignment="1">
      <alignment vertical="center" wrapText="1"/>
    </xf>
    <xf numFmtId="9" fontId="11" fillId="0" borderId="0" xfId="3" applyNumberFormat="1" applyFont="1" applyAlignment="1">
      <alignment vertical="center"/>
    </xf>
    <xf numFmtId="9" fontId="0" fillId="0" borderId="0" xfId="3" applyNumberFormat="1" applyFont="1" applyAlignment="1">
      <alignment vertical="center"/>
    </xf>
    <xf numFmtId="9" fontId="0" fillId="0" borderId="0" xfId="0" applyNumberForma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2" fillId="0" borderId="3" xfId="0" applyNumberFormat="1" applyFont="1" applyBorder="1" applyAlignment="1">
      <alignment horizontal="center" vertical="center" wrapText="1"/>
    </xf>
    <xf numFmtId="41" fontId="2" fillId="0" borderId="3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7" fontId="20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1" fontId="20" fillId="0" borderId="1" xfId="0" applyNumberFormat="1" applyFont="1" applyBorder="1" applyAlignment="1">
      <alignment vertical="center"/>
    </xf>
    <xf numFmtId="49" fontId="20" fillId="0" borderId="1" xfId="0" applyNumberFormat="1" applyFont="1" applyBorder="1" applyAlignment="1">
      <alignment vertical="center" wrapText="1"/>
    </xf>
    <xf numFmtId="41" fontId="20" fillId="0" borderId="1" xfId="0" applyNumberFormat="1" applyFont="1" applyBorder="1" applyAlignment="1">
      <alignment horizontal="right" vertical="center"/>
    </xf>
    <xf numFmtId="168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1" fontId="3" fillId="0" borderId="1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41" fontId="3" fillId="0" borderId="3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4" fontId="10" fillId="4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">
    <cellStyle name="Comma" xfId="3" builtinId="3"/>
    <cellStyle name="Comma 2" xfId="1" xr:uid="{00000000-0005-0000-0000-000001000000}"/>
    <cellStyle name="Normal" xfId="0" builtinId="0"/>
    <cellStyle name="Normal 2" xfId="2" xr:uid="{00000000-0005-0000-0000-000003000000}"/>
    <cellStyle name="Percent" xfId="4" builtinId="5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2"/>
  <sheetViews>
    <sheetView tabSelected="1" view="pageBreakPreview" zoomScale="85" zoomScaleNormal="85" zoomScaleSheetLayoutView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14" sqref="D14"/>
    </sheetView>
  </sheetViews>
  <sheetFormatPr defaultColWidth="8.88671875" defaultRowHeight="14.4" x14ac:dyDescent="0.3"/>
  <cols>
    <col min="1" max="1" width="9.44140625" style="1" customWidth="1"/>
    <col min="2" max="2" width="60.33203125" style="2" customWidth="1"/>
    <col min="3" max="3" width="11.33203125" style="8" customWidth="1"/>
    <col min="4" max="4" width="12.44140625" style="3" customWidth="1"/>
    <col min="5" max="5" width="18.109375" style="3" bestFit="1" customWidth="1"/>
    <col min="6" max="6" width="22.6640625" style="3" bestFit="1" customWidth="1"/>
    <col min="7" max="7" width="16.6640625" style="12" bestFit="1" customWidth="1"/>
    <col min="8" max="8" width="17.88671875" style="32" bestFit="1" customWidth="1"/>
    <col min="9" max="9" width="9.44140625" style="42" customWidth="1"/>
    <col min="10" max="10" width="16.44140625" style="32" bestFit="1" customWidth="1"/>
    <col min="11" max="11" width="18.109375" style="32" customWidth="1"/>
    <col min="12" max="12" width="15.6640625" style="1" customWidth="1"/>
    <col min="13" max="16384" width="8.88671875" style="1"/>
  </cols>
  <sheetData>
    <row r="1" spans="1:12" ht="20.399999999999999" x14ac:dyDescent="0.3">
      <c r="A1" s="62" t="s">
        <v>14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ht="17.399999999999999" x14ac:dyDescent="0.3">
      <c r="A2" s="63" t="str">
        <f>'Thông tin dự án'!B2&amp;'Thông tin dự án'!C2</f>
        <v>Công trình : Trạm biến áp 110kV Phước Đông 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</row>
    <row r="3" spans="1:12" ht="17.399999999999999" customHeight="1" x14ac:dyDescent="0.3">
      <c r="A3" s="63" t="str">
        <f>'Thông tin dự án'!B3&amp;'Thông tin dự án'!C3</f>
        <v>Hạng mục: Hệ thống TTLL &amp; Scada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</row>
    <row r="4" spans="1:12" ht="18" customHeight="1" x14ac:dyDescent="0.3">
      <c r="A4" s="63" t="str">
        <f>'Thông tin dự án'!B4&amp;'Thông tin dự án'!C4</f>
        <v>Hợp đồng số:       /2026/HĐ-PDN-TSM ngày   /   /2026)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</row>
    <row r="5" spans="1:12" ht="17.399999999999999" x14ac:dyDescent="0.3">
      <c r="A5" s="13"/>
      <c r="B5" s="13"/>
      <c r="C5" s="13"/>
      <c r="D5" s="13"/>
      <c r="E5" s="14"/>
      <c r="F5" s="14"/>
      <c r="G5" s="14"/>
      <c r="H5" s="26"/>
      <c r="I5" s="36"/>
      <c r="J5" s="26"/>
      <c r="K5" s="26"/>
      <c r="L5" s="15"/>
    </row>
    <row r="6" spans="1:12" ht="15.6" x14ac:dyDescent="0.3">
      <c r="A6" s="64" t="s">
        <v>5</v>
      </c>
      <c r="B6" s="64" t="s">
        <v>6</v>
      </c>
      <c r="C6" s="64" t="s">
        <v>8</v>
      </c>
      <c r="D6" s="64" t="s">
        <v>7</v>
      </c>
      <c r="E6" s="64" t="s">
        <v>2</v>
      </c>
      <c r="F6" s="64" t="s">
        <v>3</v>
      </c>
      <c r="G6" s="64" t="s">
        <v>4</v>
      </c>
      <c r="H6" s="65" t="s">
        <v>9</v>
      </c>
      <c r="I6" s="64" t="s">
        <v>10</v>
      </c>
      <c r="J6" s="64"/>
      <c r="K6" s="65" t="s">
        <v>13</v>
      </c>
      <c r="L6" s="68" t="s">
        <v>1</v>
      </c>
    </row>
    <row r="7" spans="1:12" ht="15.6" x14ac:dyDescent="0.3">
      <c r="A7" s="64"/>
      <c r="B7" s="64"/>
      <c r="C7" s="64"/>
      <c r="D7" s="64"/>
      <c r="E7" s="64"/>
      <c r="F7" s="64"/>
      <c r="G7" s="64"/>
      <c r="H7" s="65"/>
      <c r="I7" s="46" t="s">
        <v>11</v>
      </c>
      <c r="J7" s="47" t="s">
        <v>12</v>
      </c>
      <c r="K7" s="65"/>
      <c r="L7" s="68"/>
    </row>
    <row r="8" spans="1:12" ht="31.2" x14ac:dyDescent="0.3">
      <c r="A8" s="48" t="s">
        <v>23</v>
      </c>
      <c r="B8" s="49" t="s">
        <v>24</v>
      </c>
      <c r="C8" s="50" t="s">
        <v>0</v>
      </c>
      <c r="D8" s="50" t="s">
        <v>0</v>
      </c>
      <c r="E8" s="43"/>
      <c r="F8" s="43"/>
      <c r="G8" s="51"/>
      <c r="H8" s="44"/>
      <c r="I8" s="46"/>
      <c r="J8" s="47"/>
      <c r="K8" s="44"/>
      <c r="L8" s="45"/>
    </row>
    <row r="9" spans="1:12" ht="62.4" x14ac:dyDescent="0.3">
      <c r="A9" s="48">
        <v>33</v>
      </c>
      <c r="B9" s="49" t="s">
        <v>25</v>
      </c>
      <c r="C9" s="52" t="s">
        <v>0</v>
      </c>
      <c r="D9" s="53" t="s">
        <v>0</v>
      </c>
      <c r="E9" s="43"/>
      <c r="F9" s="43"/>
      <c r="G9" s="54"/>
      <c r="H9" s="44"/>
      <c r="I9" s="46"/>
      <c r="J9" s="47"/>
      <c r="K9" s="44"/>
      <c r="L9" s="45"/>
    </row>
    <row r="10" spans="1:12" ht="31.2" x14ac:dyDescent="0.3">
      <c r="A10" s="48" t="s">
        <v>26</v>
      </c>
      <c r="B10" s="49" t="s">
        <v>27</v>
      </c>
      <c r="C10" s="52" t="s">
        <v>0</v>
      </c>
      <c r="D10" s="53" t="s">
        <v>0</v>
      </c>
      <c r="E10" s="43"/>
      <c r="F10" s="43"/>
      <c r="G10" s="54"/>
      <c r="H10" s="44"/>
      <c r="I10" s="46"/>
      <c r="J10" s="47"/>
      <c r="K10" s="44"/>
      <c r="L10" s="45"/>
    </row>
    <row r="11" spans="1:12" ht="31.2" x14ac:dyDescent="0.3">
      <c r="A11" s="53" t="s">
        <v>28</v>
      </c>
      <c r="B11" s="55" t="s">
        <v>29</v>
      </c>
      <c r="C11" s="52">
        <v>2</v>
      </c>
      <c r="D11" s="53" t="s">
        <v>30</v>
      </c>
      <c r="E11" s="43"/>
      <c r="F11" s="43"/>
      <c r="G11" s="54">
        <v>2000000</v>
      </c>
      <c r="H11" s="59">
        <f>G11*C11</f>
        <v>4000000</v>
      </c>
      <c r="I11" s="60">
        <v>0.08</v>
      </c>
      <c r="J11" s="61">
        <f>I11*H11</f>
        <v>320000</v>
      </c>
      <c r="K11" s="59">
        <f>J11+H11</f>
        <v>4320000</v>
      </c>
      <c r="L11" s="45"/>
    </row>
    <row r="12" spans="1:12" ht="15.6" x14ac:dyDescent="0.3">
      <c r="A12" s="53" t="s">
        <v>31</v>
      </c>
      <c r="B12" s="55" t="s">
        <v>32</v>
      </c>
      <c r="C12" s="52">
        <v>2</v>
      </c>
      <c r="D12" s="53" t="s">
        <v>30</v>
      </c>
      <c r="E12" s="43"/>
      <c r="F12" s="43"/>
      <c r="G12" s="54">
        <v>3000000</v>
      </c>
      <c r="H12" s="59">
        <f t="shared" ref="H12:H15" si="0">G12*C12</f>
        <v>6000000</v>
      </c>
      <c r="I12" s="60">
        <v>0.08</v>
      </c>
      <c r="J12" s="61">
        <f t="shared" ref="J12:J15" si="1">I12*H12</f>
        <v>480000</v>
      </c>
      <c r="K12" s="59">
        <f t="shared" ref="K12:K15" si="2">J12+H12</f>
        <v>6480000</v>
      </c>
      <c r="L12" s="45"/>
    </row>
    <row r="13" spans="1:12" ht="31.2" x14ac:dyDescent="0.3">
      <c r="A13" s="53" t="s">
        <v>33</v>
      </c>
      <c r="B13" s="55" t="s">
        <v>34</v>
      </c>
      <c r="C13" s="50">
        <v>1</v>
      </c>
      <c r="D13" s="53" t="s">
        <v>30</v>
      </c>
      <c r="E13" s="43"/>
      <c r="F13" s="43"/>
      <c r="G13" s="54">
        <v>2000000</v>
      </c>
      <c r="H13" s="59">
        <f t="shared" si="0"/>
        <v>2000000</v>
      </c>
      <c r="I13" s="60">
        <v>0.08</v>
      </c>
      <c r="J13" s="61">
        <f t="shared" si="1"/>
        <v>160000</v>
      </c>
      <c r="K13" s="59">
        <f t="shared" si="2"/>
        <v>2160000</v>
      </c>
      <c r="L13" s="45"/>
    </row>
    <row r="14" spans="1:12" ht="15.6" x14ac:dyDescent="0.3">
      <c r="A14" s="53" t="s">
        <v>35</v>
      </c>
      <c r="B14" s="55" t="s">
        <v>36</v>
      </c>
      <c r="C14" s="52">
        <v>1</v>
      </c>
      <c r="D14" s="53" t="s">
        <v>30</v>
      </c>
      <c r="E14" s="43"/>
      <c r="F14" s="43"/>
      <c r="G14" s="54">
        <v>1000000</v>
      </c>
      <c r="H14" s="59">
        <f t="shared" si="0"/>
        <v>1000000</v>
      </c>
      <c r="I14" s="60">
        <v>0.08</v>
      </c>
      <c r="J14" s="61">
        <f t="shared" si="1"/>
        <v>80000</v>
      </c>
      <c r="K14" s="59">
        <f t="shared" si="2"/>
        <v>1080000</v>
      </c>
      <c r="L14" s="45"/>
    </row>
    <row r="15" spans="1:12" ht="15.6" x14ac:dyDescent="0.3">
      <c r="A15" s="53" t="s">
        <v>37</v>
      </c>
      <c r="B15" s="55" t="s">
        <v>38</v>
      </c>
      <c r="C15" s="52">
        <v>1</v>
      </c>
      <c r="D15" s="53" t="s">
        <v>39</v>
      </c>
      <c r="E15" s="43"/>
      <c r="F15" s="43"/>
      <c r="G15" s="54">
        <v>5000000</v>
      </c>
      <c r="H15" s="59">
        <f t="shared" si="0"/>
        <v>5000000</v>
      </c>
      <c r="I15" s="60">
        <v>0.08</v>
      </c>
      <c r="J15" s="61">
        <f t="shared" si="1"/>
        <v>400000</v>
      </c>
      <c r="K15" s="59">
        <f t="shared" si="2"/>
        <v>5400000</v>
      </c>
      <c r="L15" s="45"/>
    </row>
    <row r="16" spans="1:12" ht="46.8" x14ac:dyDescent="0.3">
      <c r="A16" s="48">
        <v>34</v>
      </c>
      <c r="B16" s="49" t="s">
        <v>40</v>
      </c>
      <c r="C16" s="52" t="s">
        <v>0</v>
      </c>
      <c r="D16" s="53" t="s">
        <v>0</v>
      </c>
      <c r="E16" s="43"/>
      <c r="F16" s="43"/>
      <c r="G16" s="54"/>
      <c r="H16" s="59"/>
      <c r="I16" s="60"/>
      <c r="J16" s="61"/>
      <c r="K16" s="59"/>
      <c r="L16" s="45"/>
    </row>
    <row r="17" spans="1:12" ht="15.6" x14ac:dyDescent="0.3">
      <c r="A17" s="48" t="s">
        <v>41</v>
      </c>
      <c r="B17" s="49" t="s">
        <v>42</v>
      </c>
      <c r="C17" s="52" t="s">
        <v>0</v>
      </c>
      <c r="D17" s="53" t="s">
        <v>0</v>
      </c>
      <c r="E17" s="43"/>
      <c r="F17" s="43"/>
      <c r="G17" s="54"/>
      <c r="H17" s="59"/>
      <c r="I17" s="60"/>
      <c r="J17" s="61"/>
      <c r="K17" s="59"/>
      <c r="L17" s="45"/>
    </row>
    <row r="18" spans="1:12" ht="31.2" x14ac:dyDescent="0.3">
      <c r="A18" s="53" t="s">
        <v>43</v>
      </c>
      <c r="B18" s="55" t="s">
        <v>44</v>
      </c>
      <c r="C18" s="52">
        <v>1</v>
      </c>
      <c r="D18" s="53" t="s">
        <v>30</v>
      </c>
      <c r="E18" s="43"/>
      <c r="F18" s="43"/>
      <c r="G18" s="54">
        <v>150000000</v>
      </c>
      <c r="H18" s="59">
        <f t="shared" ref="H18:H71" si="3">G18*C18</f>
        <v>150000000</v>
      </c>
      <c r="I18" s="60">
        <v>0.08</v>
      </c>
      <c r="J18" s="61">
        <f t="shared" ref="J18:J71" si="4">I18*H18</f>
        <v>12000000</v>
      </c>
      <c r="K18" s="59">
        <f t="shared" ref="K18:K71" si="5">J18+H18</f>
        <v>162000000</v>
      </c>
      <c r="L18" s="45"/>
    </row>
    <row r="19" spans="1:12" ht="15.6" x14ac:dyDescent="0.3">
      <c r="A19" s="53" t="s">
        <v>45</v>
      </c>
      <c r="B19" s="55" t="s">
        <v>46</v>
      </c>
      <c r="C19" s="52">
        <v>3</v>
      </c>
      <c r="D19" s="53" t="s">
        <v>30</v>
      </c>
      <c r="E19" s="43"/>
      <c r="F19" s="43"/>
      <c r="G19" s="54">
        <v>6000000</v>
      </c>
      <c r="H19" s="59">
        <f t="shared" si="3"/>
        <v>18000000</v>
      </c>
      <c r="I19" s="60">
        <v>0.08</v>
      </c>
      <c r="J19" s="61">
        <f t="shared" si="4"/>
        <v>1440000</v>
      </c>
      <c r="K19" s="59">
        <f t="shared" si="5"/>
        <v>19440000</v>
      </c>
      <c r="L19" s="45"/>
    </row>
    <row r="20" spans="1:12" ht="31.2" x14ac:dyDescent="0.3">
      <c r="A20" s="53" t="s">
        <v>47</v>
      </c>
      <c r="B20" s="55" t="s">
        <v>48</v>
      </c>
      <c r="C20" s="52">
        <v>1</v>
      </c>
      <c r="D20" s="53" t="s">
        <v>30</v>
      </c>
      <c r="E20" s="43"/>
      <c r="F20" s="43"/>
      <c r="G20" s="54">
        <v>10000000</v>
      </c>
      <c r="H20" s="59">
        <f t="shared" si="3"/>
        <v>10000000</v>
      </c>
      <c r="I20" s="60">
        <v>0.08</v>
      </c>
      <c r="J20" s="61">
        <f t="shared" si="4"/>
        <v>800000</v>
      </c>
      <c r="K20" s="59">
        <f t="shared" si="5"/>
        <v>10800000</v>
      </c>
      <c r="L20" s="45"/>
    </row>
    <row r="21" spans="1:12" ht="15.6" x14ac:dyDescent="0.3">
      <c r="A21" s="48" t="s">
        <v>49</v>
      </c>
      <c r="B21" s="49" t="s">
        <v>50</v>
      </c>
      <c r="C21" s="52" t="s">
        <v>0</v>
      </c>
      <c r="D21" s="53" t="s">
        <v>0</v>
      </c>
      <c r="E21" s="43"/>
      <c r="F21" s="43"/>
      <c r="G21" s="54"/>
      <c r="H21" s="59"/>
      <c r="I21" s="60"/>
      <c r="J21" s="61"/>
      <c r="K21" s="59"/>
      <c r="L21" s="45"/>
    </row>
    <row r="22" spans="1:12" ht="15.6" x14ac:dyDescent="0.3">
      <c r="A22" s="53" t="s">
        <v>51</v>
      </c>
      <c r="B22" s="55" t="s">
        <v>52</v>
      </c>
      <c r="C22" s="52">
        <v>4</v>
      </c>
      <c r="D22" s="53" t="s">
        <v>30</v>
      </c>
      <c r="E22" s="43"/>
      <c r="F22" s="43"/>
      <c r="G22" s="54">
        <v>6000000</v>
      </c>
      <c r="H22" s="59">
        <f t="shared" si="3"/>
        <v>24000000</v>
      </c>
      <c r="I22" s="60">
        <v>0.08</v>
      </c>
      <c r="J22" s="61">
        <f t="shared" si="4"/>
        <v>1920000</v>
      </c>
      <c r="K22" s="59">
        <f t="shared" si="5"/>
        <v>25920000</v>
      </c>
      <c r="L22" s="45"/>
    </row>
    <row r="23" spans="1:12" ht="31.2" x14ac:dyDescent="0.3">
      <c r="A23" s="53" t="s">
        <v>53</v>
      </c>
      <c r="B23" s="55" t="s">
        <v>54</v>
      </c>
      <c r="C23" s="52">
        <v>2</v>
      </c>
      <c r="D23" s="53" t="s">
        <v>30</v>
      </c>
      <c r="E23" s="43"/>
      <c r="F23" s="43"/>
      <c r="G23" s="54">
        <v>320000000</v>
      </c>
      <c r="H23" s="59">
        <f t="shared" si="3"/>
        <v>640000000</v>
      </c>
      <c r="I23" s="60">
        <v>0.08</v>
      </c>
      <c r="J23" s="61">
        <f t="shared" si="4"/>
        <v>51200000</v>
      </c>
      <c r="K23" s="59">
        <f t="shared" si="5"/>
        <v>691200000</v>
      </c>
      <c r="L23" s="45"/>
    </row>
    <row r="24" spans="1:12" ht="15.6" x14ac:dyDescent="0.3">
      <c r="A24" s="53" t="s">
        <v>55</v>
      </c>
      <c r="B24" s="55" t="s">
        <v>56</v>
      </c>
      <c r="C24" s="52">
        <v>2</v>
      </c>
      <c r="D24" s="53" t="s">
        <v>30</v>
      </c>
      <c r="E24" s="43"/>
      <c r="F24" s="43"/>
      <c r="G24" s="54">
        <v>10000000</v>
      </c>
      <c r="H24" s="59">
        <f t="shared" si="3"/>
        <v>20000000</v>
      </c>
      <c r="I24" s="60">
        <v>0.08</v>
      </c>
      <c r="J24" s="61">
        <f t="shared" si="4"/>
        <v>1600000</v>
      </c>
      <c r="K24" s="59">
        <f t="shared" si="5"/>
        <v>21600000</v>
      </c>
      <c r="L24" s="45"/>
    </row>
    <row r="25" spans="1:12" ht="15.6" x14ac:dyDescent="0.3">
      <c r="A25" s="48" t="s">
        <v>57</v>
      </c>
      <c r="B25" s="49" t="s">
        <v>58</v>
      </c>
      <c r="C25" s="52" t="s">
        <v>0</v>
      </c>
      <c r="D25" s="53" t="s">
        <v>0</v>
      </c>
      <c r="E25" s="43"/>
      <c r="F25" s="43"/>
      <c r="G25" s="54"/>
      <c r="H25" s="59"/>
      <c r="I25" s="60"/>
      <c r="J25" s="61"/>
      <c r="K25" s="59"/>
      <c r="L25" s="45"/>
    </row>
    <row r="26" spans="1:12" ht="15.6" x14ac:dyDescent="0.3">
      <c r="A26" s="53" t="s">
        <v>59</v>
      </c>
      <c r="B26" s="55" t="s">
        <v>52</v>
      </c>
      <c r="C26" s="52">
        <v>4</v>
      </c>
      <c r="D26" s="53" t="s">
        <v>30</v>
      </c>
      <c r="E26" s="43"/>
      <c r="F26" s="43"/>
      <c r="G26" s="54">
        <v>6000000</v>
      </c>
      <c r="H26" s="59">
        <f t="shared" si="3"/>
        <v>24000000</v>
      </c>
      <c r="I26" s="60">
        <v>0.08</v>
      </c>
      <c r="J26" s="61">
        <f t="shared" si="4"/>
        <v>1920000</v>
      </c>
      <c r="K26" s="59">
        <f t="shared" si="5"/>
        <v>25920000</v>
      </c>
      <c r="L26" s="45"/>
    </row>
    <row r="27" spans="1:12" ht="31.2" x14ac:dyDescent="0.3">
      <c r="A27" s="53" t="s">
        <v>60</v>
      </c>
      <c r="B27" s="55" t="s">
        <v>54</v>
      </c>
      <c r="C27" s="52">
        <v>2</v>
      </c>
      <c r="D27" s="53" t="s">
        <v>30</v>
      </c>
      <c r="E27" s="43"/>
      <c r="F27" s="43"/>
      <c r="G27" s="54">
        <v>320000000</v>
      </c>
      <c r="H27" s="59">
        <f t="shared" si="3"/>
        <v>640000000</v>
      </c>
      <c r="I27" s="60">
        <v>0.08</v>
      </c>
      <c r="J27" s="61">
        <f t="shared" si="4"/>
        <v>51200000</v>
      </c>
      <c r="K27" s="59">
        <f t="shared" si="5"/>
        <v>691200000</v>
      </c>
      <c r="L27" s="45"/>
    </row>
    <row r="28" spans="1:12" ht="15.6" x14ac:dyDescent="0.3">
      <c r="A28" s="53" t="s">
        <v>61</v>
      </c>
      <c r="B28" s="55" t="s">
        <v>56</v>
      </c>
      <c r="C28" s="52">
        <v>2</v>
      </c>
      <c r="D28" s="53" t="s">
        <v>62</v>
      </c>
      <c r="E28" s="43"/>
      <c r="F28" s="43"/>
      <c r="G28" s="54">
        <v>10000000</v>
      </c>
      <c r="H28" s="59">
        <f t="shared" si="3"/>
        <v>20000000</v>
      </c>
      <c r="I28" s="60">
        <v>0.08</v>
      </c>
      <c r="J28" s="61">
        <f t="shared" si="4"/>
        <v>1600000</v>
      </c>
      <c r="K28" s="59">
        <f t="shared" si="5"/>
        <v>21600000</v>
      </c>
      <c r="L28" s="45"/>
    </row>
    <row r="29" spans="1:12" ht="46.8" x14ac:dyDescent="0.3">
      <c r="A29" s="48">
        <v>35</v>
      </c>
      <c r="B29" s="49" t="s">
        <v>63</v>
      </c>
      <c r="C29" s="52" t="s">
        <v>0</v>
      </c>
      <c r="D29" s="53" t="s">
        <v>0</v>
      </c>
      <c r="E29" s="43"/>
      <c r="F29" s="43"/>
      <c r="G29" s="54"/>
      <c r="H29" s="59"/>
      <c r="I29" s="60"/>
      <c r="J29" s="61"/>
      <c r="K29" s="59"/>
      <c r="L29" s="45"/>
    </row>
    <row r="30" spans="1:12" ht="15.6" x14ac:dyDescent="0.3">
      <c r="A30" s="48" t="s">
        <v>64</v>
      </c>
      <c r="B30" s="49" t="s">
        <v>65</v>
      </c>
      <c r="C30" s="52" t="s">
        <v>0</v>
      </c>
      <c r="D30" s="53" t="s">
        <v>0</v>
      </c>
      <c r="E30" s="43"/>
      <c r="F30" s="43"/>
      <c r="G30" s="54"/>
      <c r="H30" s="59"/>
      <c r="I30" s="60"/>
      <c r="J30" s="61"/>
      <c r="K30" s="59"/>
      <c r="L30" s="45"/>
    </row>
    <row r="31" spans="1:12" ht="31.2" x14ac:dyDescent="0.3">
      <c r="A31" s="53" t="s">
        <v>66</v>
      </c>
      <c r="B31" s="55" t="s">
        <v>67</v>
      </c>
      <c r="C31" s="52">
        <v>250</v>
      </c>
      <c r="D31" s="53" t="s">
        <v>68</v>
      </c>
      <c r="E31" s="43"/>
      <c r="F31" s="43"/>
      <c r="G31" s="54">
        <v>45000</v>
      </c>
      <c r="H31" s="59">
        <f t="shared" si="3"/>
        <v>11250000</v>
      </c>
      <c r="I31" s="60">
        <v>0.08</v>
      </c>
      <c r="J31" s="61">
        <f t="shared" si="4"/>
        <v>900000</v>
      </c>
      <c r="K31" s="59">
        <f t="shared" si="5"/>
        <v>12150000</v>
      </c>
      <c r="L31" s="45"/>
    </row>
    <row r="32" spans="1:12" ht="15.6" x14ac:dyDescent="0.3">
      <c r="A32" s="53" t="s">
        <v>69</v>
      </c>
      <c r="B32" s="55" t="s">
        <v>70</v>
      </c>
      <c r="C32" s="52">
        <v>100</v>
      </c>
      <c r="D32" s="53" t="s">
        <v>68</v>
      </c>
      <c r="E32" s="43"/>
      <c r="F32" s="43"/>
      <c r="G32" s="54">
        <v>30000</v>
      </c>
      <c r="H32" s="59">
        <f t="shared" si="3"/>
        <v>3000000</v>
      </c>
      <c r="I32" s="60">
        <v>0.08</v>
      </c>
      <c r="J32" s="61">
        <f t="shared" si="4"/>
        <v>240000</v>
      </c>
      <c r="K32" s="59">
        <f t="shared" si="5"/>
        <v>3240000</v>
      </c>
      <c r="L32" s="45"/>
    </row>
    <row r="33" spans="1:12" ht="15.6" x14ac:dyDescent="0.3">
      <c r="A33" s="53" t="s">
        <v>71</v>
      </c>
      <c r="B33" s="55" t="s">
        <v>72</v>
      </c>
      <c r="C33" s="52">
        <v>40</v>
      </c>
      <c r="D33" s="53" t="s">
        <v>68</v>
      </c>
      <c r="E33" s="43"/>
      <c r="F33" s="43"/>
      <c r="G33" s="54">
        <v>120000</v>
      </c>
      <c r="H33" s="59">
        <f t="shared" si="3"/>
        <v>4800000</v>
      </c>
      <c r="I33" s="60">
        <v>0.08</v>
      </c>
      <c r="J33" s="61">
        <f t="shared" si="4"/>
        <v>384000</v>
      </c>
      <c r="K33" s="59">
        <f t="shared" si="5"/>
        <v>5184000</v>
      </c>
      <c r="L33" s="45"/>
    </row>
    <row r="34" spans="1:12" ht="15.6" x14ac:dyDescent="0.3">
      <c r="A34" s="53" t="s">
        <v>73</v>
      </c>
      <c r="B34" s="55" t="s">
        <v>74</v>
      </c>
      <c r="C34" s="52">
        <v>50</v>
      </c>
      <c r="D34" s="53" t="s">
        <v>68</v>
      </c>
      <c r="E34" s="43"/>
      <c r="F34" s="43"/>
      <c r="G34" s="54">
        <v>77000</v>
      </c>
      <c r="H34" s="59">
        <f t="shared" si="3"/>
        <v>3850000</v>
      </c>
      <c r="I34" s="60">
        <v>0.08</v>
      </c>
      <c r="J34" s="61">
        <f t="shared" si="4"/>
        <v>308000</v>
      </c>
      <c r="K34" s="59">
        <f t="shared" si="5"/>
        <v>4158000</v>
      </c>
      <c r="L34" s="45"/>
    </row>
    <row r="35" spans="1:12" ht="31.2" x14ac:dyDescent="0.3">
      <c r="A35" s="53" t="s">
        <v>75</v>
      </c>
      <c r="B35" s="55" t="s">
        <v>76</v>
      </c>
      <c r="C35" s="52">
        <v>1</v>
      </c>
      <c r="D35" s="53" t="s">
        <v>17</v>
      </c>
      <c r="E35" s="43"/>
      <c r="F35" s="43"/>
      <c r="G35" s="54">
        <v>5000000</v>
      </c>
      <c r="H35" s="59">
        <f t="shared" si="3"/>
        <v>5000000</v>
      </c>
      <c r="I35" s="60">
        <v>0.08</v>
      </c>
      <c r="J35" s="61">
        <f t="shared" si="4"/>
        <v>400000</v>
      </c>
      <c r="K35" s="59">
        <f t="shared" si="5"/>
        <v>5400000</v>
      </c>
      <c r="L35" s="45"/>
    </row>
    <row r="36" spans="1:12" ht="15.6" x14ac:dyDescent="0.3">
      <c r="A36" s="48" t="s">
        <v>77</v>
      </c>
      <c r="B36" s="49" t="s">
        <v>78</v>
      </c>
      <c r="C36" s="52" t="s">
        <v>0</v>
      </c>
      <c r="D36" s="53" t="s">
        <v>0</v>
      </c>
      <c r="E36" s="43"/>
      <c r="F36" s="43"/>
      <c r="G36" s="54"/>
      <c r="H36" s="59"/>
      <c r="I36" s="60"/>
      <c r="J36" s="61"/>
      <c r="K36" s="59"/>
      <c r="L36" s="45"/>
    </row>
    <row r="37" spans="1:12" ht="15.6" x14ac:dyDescent="0.3">
      <c r="A37" s="53" t="s">
        <v>79</v>
      </c>
      <c r="B37" s="55" t="s">
        <v>80</v>
      </c>
      <c r="C37" s="52">
        <v>80</v>
      </c>
      <c r="D37" s="53" t="s">
        <v>68</v>
      </c>
      <c r="E37" s="43"/>
      <c r="F37" s="43"/>
      <c r="G37" s="54">
        <v>40000</v>
      </c>
      <c r="H37" s="59">
        <f t="shared" si="3"/>
        <v>3200000</v>
      </c>
      <c r="I37" s="60">
        <v>0.08</v>
      </c>
      <c r="J37" s="61">
        <f t="shared" si="4"/>
        <v>256000</v>
      </c>
      <c r="K37" s="59">
        <f t="shared" si="5"/>
        <v>3456000</v>
      </c>
      <c r="L37" s="45"/>
    </row>
    <row r="38" spans="1:12" ht="15.6" x14ac:dyDescent="0.3">
      <c r="A38" s="53" t="s">
        <v>81</v>
      </c>
      <c r="B38" s="55" t="s">
        <v>72</v>
      </c>
      <c r="C38" s="52">
        <v>6</v>
      </c>
      <c r="D38" s="53" t="s">
        <v>68</v>
      </c>
      <c r="E38" s="43"/>
      <c r="F38" s="43"/>
      <c r="G38" s="56">
        <v>120000</v>
      </c>
      <c r="H38" s="59">
        <f t="shared" si="3"/>
        <v>720000</v>
      </c>
      <c r="I38" s="60">
        <v>0.08</v>
      </c>
      <c r="J38" s="61">
        <f t="shared" si="4"/>
        <v>57600</v>
      </c>
      <c r="K38" s="59">
        <f t="shared" si="5"/>
        <v>777600</v>
      </c>
      <c r="L38" s="45"/>
    </row>
    <row r="39" spans="1:12" ht="15.6" x14ac:dyDescent="0.3">
      <c r="A39" s="53" t="s">
        <v>82</v>
      </c>
      <c r="B39" s="55" t="s">
        <v>83</v>
      </c>
      <c r="C39" s="52">
        <v>60</v>
      </c>
      <c r="D39" s="53" t="s">
        <v>68</v>
      </c>
      <c r="E39" s="43"/>
      <c r="F39" s="43"/>
      <c r="G39" s="56">
        <v>20000</v>
      </c>
      <c r="H39" s="59">
        <f t="shared" si="3"/>
        <v>1200000</v>
      </c>
      <c r="I39" s="60">
        <v>0.08</v>
      </c>
      <c r="J39" s="61">
        <f t="shared" si="4"/>
        <v>96000</v>
      </c>
      <c r="K39" s="59">
        <f t="shared" si="5"/>
        <v>1296000</v>
      </c>
      <c r="L39" s="45"/>
    </row>
    <row r="40" spans="1:12" ht="31.2" x14ac:dyDescent="0.3">
      <c r="A40" s="53" t="s">
        <v>84</v>
      </c>
      <c r="B40" s="55" t="s">
        <v>85</v>
      </c>
      <c r="C40" s="52">
        <v>1</v>
      </c>
      <c r="D40" s="53" t="s">
        <v>17</v>
      </c>
      <c r="E40" s="43"/>
      <c r="F40" s="43"/>
      <c r="G40" s="54">
        <v>3000000</v>
      </c>
      <c r="H40" s="59">
        <f t="shared" si="3"/>
        <v>3000000</v>
      </c>
      <c r="I40" s="60">
        <v>0.08</v>
      </c>
      <c r="J40" s="61">
        <f t="shared" si="4"/>
        <v>240000</v>
      </c>
      <c r="K40" s="59">
        <f t="shared" si="5"/>
        <v>3240000</v>
      </c>
      <c r="L40" s="45"/>
    </row>
    <row r="41" spans="1:12" ht="15.6" x14ac:dyDescent="0.3">
      <c r="A41" s="48" t="s">
        <v>86</v>
      </c>
      <c r="B41" s="49" t="s">
        <v>58</v>
      </c>
      <c r="C41" s="52" t="s">
        <v>0</v>
      </c>
      <c r="D41" s="53" t="s">
        <v>0</v>
      </c>
      <c r="E41" s="43"/>
      <c r="F41" s="43"/>
      <c r="G41" s="54"/>
      <c r="H41" s="59"/>
      <c r="I41" s="60"/>
      <c r="J41" s="61"/>
      <c r="K41" s="59"/>
      <c r="L41" s="45"/>
    </row>
    <row r="42" spans="1:12" ht="15.6" x14ac:dyDescent="0.3">
      <c r="A42" s="53" t="s">
        <v>87</v>
      </c>
      <c r="B42" s="55" t="s">
        <v>80</v>
      </c>
      <c r="C42" s="52">
        <v>80</v>
      </c>
      <c r="D42" s="53" t="s">
        <v>68</v>
      </c>
      <c r="E42" s="43"/>
      <c r="F42" s="43"/>
      <c r="G42" s="54">
        <v>40000</v>
      </c>
      <c r="H42" s="59">
        <f t="shared" si="3"/>
        <v>3200000</v>
      </c>
      <c r="I42" s="60">
        <v>0.08</v>
      </c>
      <c r="J42" s="61">
        <f t="shared" si="4"/>
        <v>256000</v>
      </c>
      <c r="K42" s="59">
        <f t="shared" si="5"/>
        <v>3456000</v>
      </c>
      <c r="L42" s="45"/>
    </row>
    <row r="43" spans="1:12" ht="15.6" x14ac:dyDescent="0.3">
      <c r="A43" s="53" t="s">
        <v>88</v>
      </c>
      <c r="B43" s="55" t="s">
        <v>72</v>
      </c>
      <c r="C43" s="52">
        <v>6</v>
      </c>
      <c r="D43" s="53" t="s">
        <v>68</v>
      </c>
      <c r="E43" s="43"/>
      <c r="F43" s="43"/>
      <c r="G43" s="54">
        <v>120000</v>
      </c>
      <c r="H43" s="59">
        <f t="shared" si="3"/>
        <v>720000</v>
      </c>
      <c r="I43" s="60">
        <v>0.08</v>
      </c>
      <c r="J43" s="61">
        <f t="shared" si="4"/>
        <v>57600</v>
      </c>
      <c r="K43" s="59">
        <f t="shared" si="5"/>
        <v>777600</v>
      </c>
      <c r="L43" s="45"/>
    </row>
    <row r="44" spans="1:12" ht="15.6" x14ac:dyDescent="0.3">
      <c r="A44" s="53" t="s">
        <v>89</v>
      </c>
      <c r="B44" s="55" t="s">
        <v>83</v>
      </c>
      <c r="C44" s="52">
        <v>60</v>
      </c>
      <c r="D44" s="53" t="s">
        <v>68</v>
      </c>
      <c r="E44" s="43"/>
      <c r="F44" s="43"/>
      <c r="G44" s="54">
        <v>20000</v>
      </c>
      <c r="H44" s="59">
        <f t="shared" si="3"/>
        <v>1200000</v>
      </c>
      <c r="I44" s="60">
        <v>0.08</v>
      </c>
      <c r="J44" s="61">
        <f t="shared" si="4"/>
        <v>96000</v>
      </c>
      <c r="K44" s="59">
        <f t="shared" si="5"/>
        <v>1296000</v>
      </c>
      <c r="L44" s="45"/>
    </row>
    <row r="45" spans="1:12" ht="31.2" x14ac:dyDescent="0.3">
      <c r="A45" s="53" t="s">
        <v>90</v>
      </c>
      <c r="B45" s="55" t="s">
        <v>85</v>
      </c>
      <c r="C45" s="52">
        <v>1</v>
      </c>
      <c r="D45" s="53" t="s">
        <v>17</v>
      </c>
      <c r="E45" s="43"/>
      <c r="F45" s="43"/>
      <c r="G45" s="54">
        <v>3000000</v>
      </c>
      <c r="H45" s="59">
        <f t="shared" si="3"/>
        <v>3000000</v>
      </c>
      <c r="I45" s="60">
        <v>0.08</v>
      </c>
      <c r="J45" s="61">
        <f t="shared" si="4"/>
        <v>240000</v>
      </c>
      <c r="K45" s="59">
        <f t="shared" si="5"/>
        <v>3240000</v>
      </c>
      <c r="L45" s="45"/>
    </row>
    <row r="46" spans="1:12" ht="31.2" x14ac:dyDescent="0.3">
      <c r="A46" s="48" t="s">
        <v>91</v>
      </c>
      <c r="B46" s="49" t="s">
        <v>92</v>
      </c>
      <c r="C46" s="52" t="s">
        <v>0</v>
      </c>
      <c r="D46" s="53" t="s">
        <v>0</v>
      </c>
      <c r="E46" s="43"/>
      <c r="F46" s="43"/>
      <c r="G46" s="54"/>
      <c r="H46" s="59"/>
      <c r="I46" s="60"/>
      <c r="J46" s="61"/>
      <c r="K46" s="59"/>
      <c r="L46" s="45"/>
    </row>
    <row r="47" spans="1:12" ht="15.6" x14ac:dyDescent="0.3">
      <c r="A47" s="53" t="s">
        <v>93</v>
      </c>
      <c r="B47" s="55" t="s">
        <v>94</v>
      </c>
      <c r="C47" s="57">
        <v>4</v>
      </c>
      <c r="D47" s="58" t="s">
        <v>95</v>
      </c>
      <c r="E47" s="43"/>
      <c r="F47" s="43"/>
      <c r="G47" s="54">
        <v>6000000</v>
      </c>
      <c r="H47" s="59">
        <f t="shared" si="3"/>
        <v>24000000</v>
      </c>
      <c r="I47" s="60">
        <v>0.08</v>
      </c>
      <c r="J47" s="61">
        <f t="shared" si="4"/>
        <v>1920000</v>
      </c>
      <c r="K47" s="59">
        <f t="shared" si="5"/>
        <v>25920000</v>
      </c>
      <c r="L47" s="45"/>
    </row>
    <row r="48" spans="1:12" ht="15.6" x14ac:dyDescent="0.3">
      <c r="A48" s="53" t="s">
        <v>96</v>
      </c>
      <c r="B48" s="55" t="s">
        <v>97</v>
      </c>
      <c r="C48" s="57">
        <v>250</v>
      </c>
      <c r="D48" s="58" t="s">
        <v>68</v>
      </c>
      <c r="E48" s="43"/>
      <c r="F48" s="43"/>
      <c r="G48" s="54">
        <v>60000</v>
      </c>
      <c r="H48" s="59">
        <f t="shared" si="3"/>
        <v>15000000</v>
      </c>
      <c r="I48" s="60">
        <v>0.08</v>
      </c>
      <c r="J48" s="61">
        <f t="shared" si="4"/>
        <v>1200000</v>
      </c>
      <c r="K48" s="59">
        <f t="shared" si="5"/>
        <v>16200000</v>
      </c>
      <c r="L48" s="45"/>
    </row>
    <row r="49" spans="1:12" ht="15.6" x14ac:dyDescent="0.3">
      <c r="A49" s="53" t="s">
        <v>98</v>
      </c>
      <c r="B49" s="55" t="s">
        <v>99</v>
      </c>
      <c r="C49" s="57">
        <v>4</v>
      </c>
      <c r="D49" s="58" t="s">
        <v>100</v>
      </c>
      <c r="E49" s="43"/>
      <c r="F49" s="43"/>
      <c r="G49" s="54">
        <v>1500000</v>
      </c>
      <c r="H49" s="59">
        <f t="shared" si="3"/>
        <v>6000000</v>
      </c>
      <c r="I49" s="60">
        <v>0.08</v>
      </c>
      <c r="J49" s="61">
        <f t="shared" si="4"/>
        <v>480000</v>
      </c>
      <c r="K49" s="59">
        <f t="shared" si="5"/>
        <v>6480000</v>
      </c>
      <c r="L49" s="45"/>
    </row>
    <row r="50" spans="1:12" ht="15.6" x14ac:dyDescent="0.3">
      <c r="A50" s="53" t="s">
        <v>101</v>
      </c>
      <c r="B50" s="55" t="s">
        <v>102</v>
      </c>
      <c r="C50" s="57">
        <v>12</v>
      </c>
      <c r="D50" s="58" t="s">
        <v>103</v>
      </c>
      <c r="E50" s="43"/>
      <c r="F50" s="43"/>
      <c r="G50" s="54">
        <v>90000</v>
      </c>
      <c r="H50" s="59">
        <f t="shared" si="3"/>
        <v>1080000</v>
      </c>
      <c r="I50" s="60">
        <v>0.08</v>
      </c>
      <c r="J50" s="61">
        <f t="shared" si="4"/>
        <v>86400</v>
      </c>
      <c r="K50" s="59">
        <f t="shared" si="5"/>
        <v>1166400</v>
      </c>
      <c r="L50" s="45"/>
    </row>
    <row r="51" spans="1:12" s="25" customFormat="1" ht="31.2" x14ac:dyDescent="0.3">
      <c r="A51" s="48" t="s">
        <v>104</v>
      </c>
      <c r="B51" s="49" t="s">
        <v>105</v>
      </c>
      <c r="C51" s="57"/>
      <c r="D51" s="58"/>
      <c r="E51" s="43"/>
      <c r="F51" s="43"/>
      <c r="G51" s="54"/>
      <c r="H51" s="59">
        <f t="shared" si="3"/>
        <v>0</v>
      </c>
      <c r="I51" s="60">
        <v>0.08</v>
      </c>
      <c r="J51" s="61">
        <f t="shared" si="4"/>
        <v>0</v>
      </c>
      <c r="K51" s="59">
        <f t="shared" si="5"/>
        <v>0</v>
      </c>
      <c r="L51" s="45"/>
    </row>
    <row r="52" spans="1:12" s="25" customFormat="1" ht="62.4" x14ac:dyDescent="0.3">
      <c r="A52" s="48">
        <v>36</v>
      </c>
      <c r="B52" s="49" t="s">
        <v>106</v>
      </c>
      <c r="C52" s="57" t="s">
        <v>0</v>
      </c>
      <c r="D52" s="58" t="s">
        <v>0</v>
      </c>
      <c r="E52" s="43"/>
      <c r="F52" s="43"/>
      <c r="G52" s="54"/>
      <c r="H52" s="59"/>
      <c r="I52" s="60"/>
      <c r="J52" s="61"/>
      <c r="K52" s="59"/>
      <c r="L52" s="45"/>
    </row>
    <row r="53" spans="1:12" s="25" customFormat="1" ht="15.6" x14ac:dyDescent="0.3">
      <c r="A53" s="48" t="s">
        <v>107</v>
      </c>
      <c r="B53" s="49" t="s">
        <v>108</v>
      </c>
      <c r="C53" s="57" t="s">
        <v>0</v>
      </c>
      <c r="D53" s="58" t="s">
        <v>0</v>
      </c>
      <c r="E53" s="43"/>
      <c r="F53" s="43"/>
      <c r="G53" s="54"/>
      <c r="H53" s="59"/>
      <c r="I53" s="60"/>
      <c r="J53" s="61"/>
      <c r="K53" s="59"/>
      <c r="L53" s="45"/>
    </row>
    <row r="54" spans="1:12" s="25" customFormat="1" ht="15.6" x14ac:dyDescent="0.3">
      <c r="A54" s="53" t="s">
        <v>109</v>
      </c>
      <c r="B54" s="55" t="s">
        <v>110</v>
      </c>
      <c r="C54" s="57">
        <v>1</v>
      </c>
      <c r="D54" s="58" t="s">
        <v>30</v>
      </c>
      <c r="E54" s="43"/>
      <c r="F54" s="43"/>
      <c r="G54" s="54">
        <v>2000000</v>
      </c>
      <c r="H54" s="59">
        <f t="shared" si="3"/>
        <v>2000000</v>
      </c>
      <c r="I54" s="60">
        <v>0.08</v>
      </c>
      <c r="J54" s="61">
        <f t="shared" si="4"/>
        <v>160000</v>
      </c>
      <c r="K54" s="59">
        <f t="shared" si="5"/>
        <v>2160000</v>
      </c>
      <c r="L54" s="45"/>
    </row>
    <row r="55" spans="1:12" s="25" customFormat="1" ht="15.6" x14ac:dyDescent="0.3">
      <c r="A55" s="53" t="s">
        <v>111</v>
      </c>
      <c r="B55" s="55" t="s">
        <v>112</v>
      </c>
      <c r="C55" s="57">
        <v>1</v>
      </c>
      <c r="D55" s="58" t="s">
        <v>30</v>
      </c>
      <c r="E55" s="43"/>
      <c r="F55" s="43"/>
      <c r="G55" s="54">
        <v>1000000</v>
      </c>
      <c r="H55" s="59">
        <f t="shared" si="3"/>
        <v>1000000</v>
      </c>
      <c r="I55" s="60">
        <v>0.08</v>
      </c>
      <c r="J55" s="61">
        <f t="shared" si="4"/>
        <v>80000</v>
      </c>
      <c r="K55" s="59">
        <f t="shared" si="5"/>
        <v>1080000</v>
      </c>
      <c r="L55" s="45"/>
    </row>
    <row r="56" spans="1:12" s="25" customFormat="1" ht="15.6" x14ac:dyDescent="0.3">
      <c r="A56" s="53" t="s">
        <v>113</v>
      </c>
      <c r="B56" s="55" t="s">
        <v>114</v>
      </c>
      <c r="C56" s="57">
        <v>1</v>
      </c>
      <c r="D56" s="58" t="s">
        <v>30</v>
      </c>
      <c r="E56" s="43"/>
      <c r="F56" s="43"/>
      <c r="G56" s="54">
        <v>3000000</v>
      </c>
      <c r="H56" s="59">
        <f t="shared" si="3"/>
        <v>3000000</v>
      </c>
      <c r="I56" s="60">
        <v>0.08</v>
      </c>
      <c r="J56" s="61">
        <f t="shared" si="4"/>
        <v>240000</v>
      </c>
      <c r="K56" s="59">
        <f t="shared" si="5"/>
        <v>3240000</v>
      </c>
      <c r="L56" s="45"/>
    </row>
    <row r="57" spans="1:12" s="25" customFormat="1" ht="15.6" x14ac:dyDescent="0.3">
      <c r="A57" s="53" t="s">
        <v>115</v>
      </c>
      <c r="B57" s="55" t="s">
        <v>116</v>
      </c>
      <c r="C57" s="57">
        <v>3</v>
      </c>
      <c r="D57" s="58" t="s">
        <v>30</v>
      </c>
      <c r="E57" s="43"/>
      <c r="F57" s="43"/>
      <c r="G57" s="54">
        <v>2000000</v>
      </c>
      <c r="H57" s="59">
        <f t="shared" si="3"/>
        <v>6000000</v>
      </c>
      <c r="I57" s="60">
        <v>0.08</v>
      </c>
      <c r="J57" s="61">
        <f t="shared" si="4"/>
        <v>480000</v>
      </c>
      <c r="K57" s="59">
        <f t="shared" si="5"/>
        <v>6480000</v>
      </c>
      <c r="L57" s="45"/>
    </row>
    <row r="58" spans="1:12" s="25" customFormat="1" ht="31.2" x14ac:dyDescent="0.3">
      <c r="A58" s="53" t="s">
        <v>117</v>
      </c>
      <c r="B58" s="55" t="s">
        <v>118</v>
      </c>
      <c r="C58" s="57">
        <v>1</v>
      </c>
      <c r="D58" s="58" t="s">
        <v>30</v>
      </c>
      <c r="E58" s="43"/>
      <c r="F58" s="43"/>
      <c r="G58" s="54">
        <v>2000000</v>
      </c>
      <c r="H58" s="59">
        <f t="shared" si="3"/>
        <v>2000000</v>
      </c>
      <c r="I58" s="60">
        <v>0.08</v>
      </c>
      <c r="J58" s="61">
        <f t="shared" si="4"/>
        <v>160000</v>
      </c>
      <c r="K58" s="59">
        <f t="shared" si="5"/>
        <v>2160000</v>
      </c>
      <c r="L58" s="45"/>
    </row>
    <row r="59" spans="1:12" s="25" customFormat="1" ht="15.6" x14ac:dyDescent="0.3">
      <c r="A59" s="53" t="s">
        <v>119</v>
      </c>
      <c r="B59" s="55" t="s">
        <v>120</v>
      </c>
      <c r="C59" s="57">
        <v>1</v>
      </c>
      <c r="D59" s="58" t="s">
        <v>30</v>
      </c>
      <c r="E59" s="43"/>
      <c r="F59" s="43"/>
      <c r="G59" s="54"/>
      <c r="H59" s="59">
        <f t="shared" si="3"/>
        <v>0</v>
      </c>
      <c r="I59" s="60">
        <v>0.08</v>
      </c>
      <c r="J59" s="61">
        <f t="shared" si="4"/>
        <v>0</v>
      </c>
      <c r="K59" s="59">
        <f t="shared" si="5"/>
        <v>0</v>
      </c>
      <c r="L59" s="45"/>
    </row>
    <row r="60" spans="1:12" s="25" customFormat="1" ht="15.6" x14ac:dyDescent="0.3">
      <c r="A60" s="53" t="s">
        <v>121</v>
      </c>
      <c r="B60" s="55" t="s">
        <v>122</v>
      </c>
      <c r="C60" s="57">
        <v>1</v>
      </c>
      <c r="D60" s="58" t="s">
        <v>30</v>
      </c>
      <c r="E60" s="43"/>
      <c r="F60" s="43"/>
      <c r="G60" s="54">
        <v>5000000</v>
      </c>
      <c r="H60" s="59">
        <f t="shared" si="3"/>
        <v>5000000</v>
      </c>
      <c r="I60" s="60">
        <v>0.08</v>
      </c>
      <c r="J60" s="61">
        <f t="shared" si="4"/>
        <v>400000</v>
      </c>
      <c r="K60" s="59">
        <f t="shared" si="5"/>
        <v>5400000</v>
      </c>
      <c r="L60" s="45"/>
    </row>
    <row r="61" spans="1:12" s="25" customFormat="1" ht="31.2" x14ac:dyDescent="0.3">
      <c r="A61" s="48">
        <v>37</v>
      </c>
      <c r="B61" s="49" t="s">
        <v>123</v>
      </c>
      <c r="C61" s="57" t="s">
        <v>0</v>
      </c>
      <c r="D61" s="58" t="s">
        <v>0</v>
      </c>
      <c r="E61" s="43"/>
      <c r="F61" s="43"/>
      <c r="G61" s="54"/>
      <c r="H61" s="59"/>
      <c r="I61" s="60"/>
      <c r="J61" s="61"/>
      <c r="K61" s="59"/>
      <c r="L61" s="45"/>
    </row>
    <row r="62" spans="1:12" s="25" customFormat="1" ht="46.8" x14ac:dyDescent="0.3">
      <c r="A62" s="53" t="s">
        <v>124</v>
      </c>
      <c r="B62" s="55" t="s">
        <v>125</v>
      </c>
      <c r="C62" s="57">
        <v>1</v>
      </c>
      <c r="D62" s="58" t="s">
        <v>30</v>
      </c>
      <c r="E62" s="43"/>
      <c r="F62" s="43"/>
      <c r="G62" s="54">
        <v>95000000</v>
      </c>
      <c r="H62" s="59">
        <f t="shared" si="3"/>
        <v>95000000</v>
      </c>
      <c r="I62" s="60">
        <v>0.08</v>
      </c>
      <c r="J62" s="61">
        <f t="shared" si="4"/>
        <v>7600000</v>
      </c>
      <c r="K62" s="59">
        <f t="shared" si="5"/>
        <v>102600000</v>
      </c>
      <c r="L62" s="45"/>
    </row>
    <row r="63" spans="1:12" s="25" customFormat="1" ht="15.6" x14ac:dyDescent="0.3">
      <c r="A63" s="53" t="s">
        <v>126</v>
      </c>
      <c r="B63" s="55" t="s">
        <v>127</v>
      </c>
      <c r="C63" s="57">
        <v>1</v>
      </c>
      <c r="D63" s="58" t="s">
        <v>30</v>
      </c>
      <c r="E63" s="43"/>
      <c r="F63" s="43"/>
      <c r="G63" s="54">
        <v>7000000</v>
      </c>
      <c r="H63" s="59">
        <f t="shared" si="3"/>
        <v>7000000</v>
      </c>
      <c r="I63" s="60">
        <v>0.08</v>
      </c>
      <c r="J63" s="61">
        <f t="shared" si="4"/>
        <v>560000</v>
      </c>
      <c r="K63" s="59">
        <f t="shared" si="5"/>
        <v>7560000</v>
      </c>
      <c r="L63" s="45"/>
    </row>
    <row r="64" spans="1:12" s="25" customFormat="1" ht="15.6" x14ac:dyDescent="0.3">
      <c r="A64" s="53" t="s">
        <v>128</v>
      </c>
      <c r="B64" s="55" t="s">
        <v>129</v>
      </c>
      <c r="C64" s="57">
        <v>500</v>
      </c>
      <c r="D64" s="58" t="s">
        <v>68</v>
      </c>
      <c r="E64" s="43"/>
      <c r="F64" s="43"/>
      <c r="G64" s="54">
        <v>15000</v>
      </c>
      <c r="H64" s="59">
        <f t="shared" si="3"/>
        <v>7500000</v>
      </c>
      <c r="I64" s="60">
        <v>0.08</v>
      </c>
      <c r="J64" s="61">
        <f t="shared" si="4"/>
        <v>600000</v>
      </c>
      <c r="K64" s="59">
        <f t="shared" si="5"/>
        <v>8100000</v>
      </c>
      <c r="L64" s="45"/>
    </row>
    <row r="65" spans="1:12" s="25" customFormat="1" ht="15.6" x14ac:dyDescent="0.3">
      <c r="A65" s="53" t="s">
        <v>130</v>
      </c>
      <c r="B65" s="55" t="s">
        <v>131</v>
      </c>
      <c r="C65" s="57">
        <v>100</v>
      </c>
      <c r="D65" s="58" t="s">
        <v>68</v>
      </c>
      <c r="E65" s="43"/>
      <c r="F65" s="43"/>
      <c r="G65" s="54">
        <v>62000</v>
      </c>
      <c r="H65" s="59">
        <f t="shared" si="3"/>
        <v>6200000</v>
      </c>
      <c r="I65" s="60">
        <v>0.08</v>
      </c>
      <c r="J65" s="61">
        <f t="shared" si="4"/>
        <v>496000</v>
      </c>
      <c r="K65" s="59">
        <f t="shared" si="5"/>
        <v>6696000</v>
      </c>
      <c r="L65" s="45"/>
    </row>
    <row r="66" spans="1:12" s="25" customFormat="1" ht="15.6" x14ac:dyDescent="0.3">
      <c r="A66" s="53" t="s">
        <v>132</v>
      </c>
      <c r="B66" s="55" t="s">
        <v>133</v>
      </c>
      <c r="C66" s="57">
        <v>150</v>
      </c>
      <c r="D66" s="58" t="s">
        <v>68</v>
      </c>
      <c r="E66" s="43"/>
      <c r="F66" s="43"/>
      <c r="G66" s="54">
        <v>65000</v>
      </c>
      <c r="H66" s="59">
        <f t="shared" si="3"/>
        <v>9750000</v>
      </c>
      <c r="I66" s="60">
        <v>0.08</v>
      </c>
      <c r="J66" s="61">
        <f t="shared" si="4"/>
        <v>780000</v>
      </c>
      <c r="K66" s="59">
        <f t="shared" si="5"/>
        <v>10530000</v>
      </c>
      <c r="L66" s="45"/>
    </row>
    <row r="67" spans="1:12" s="25" customFormat="1" ht="15.6" x14ac:dyDescent="0.3">
      <c r="A67" s="53" t="s">
        <v>134</v>
      </c>
      <c r="B67" s="55" t="s">
        <v>135</v>
      </c>
      <c r="C67" s="57">
        <v>350</v>
      </c>
      <c r="D67" s="58" t="s">
        <v>68</v>
      </c>
      <c r="E67" s="43"/>
      <c r="F67" s="43"/>
      <c r="G67" s="54">
        <v>25000</v>
      </c>
      <c r="H67" s="59">
        <f t="shared" si="3"/>
        <v>8750000</v>
      </c>
      <c r="I67" s="60">
        <v>0.08</v>
      </c>
      <c r="J67" s="61">
        <f t="shared" si="4"/>
        <v>700000</v>
      </c>
      <c r="K67" s="59">
        <f t="shared" si="5"/>
        <v>9450000</v>
      </c>
      <c r="L67" s="45"/>
    </row>
    <row r="68" spans="1:12" s="25" customFormat="1" ht="15.6" x14ac:dyDescent="0.3">
      <c r="A68" s="53" t="s">
        <v>136</v>
      </c>
      <c r="B68" s="55" t="s">
        <v>137</v>
      </c>
      <c r="C68" s="57">
        <v>4</v>
      </c>
      <c r="D68" s="58" t="s">
        <v>138</v>
      </c>
      <c r="E68" s="43"/>
      <c r="F68" s="43"/>
      <c r="G68" s="54">
        <v>350000</v>
      </c>
      <c r="H68" s="59">
        <f t="shared" si="3"/>
        <v>1400000</v>
      </c>
      <c r="I68" s="60">
        <v>0.08</v>
      </c>
      <c r="J68" s="61">
        <f t="shared" si="4"/>
        <v>112000</v>
      </c>
      <c r="K68" s="59">
        <f t="shared" si="5"/>
        <v>1512000</v>
      </c>
      <c r="L68" s="45"/>
    </row>
    <row r="69" spans="1:12" s="25" customFormat="1" ht="15.6" x14ac:dyDescent="0.3">
      <c r="A69" s="53" t="s">
        <v>139</v>
      </c>
      <c r="B69" s="55" t="s">
        <v>140</v>
      </c>
      <c r="C69" s="57">
        <v>60</v>
      </c>
      <c r="D69" s="58" t="s">
        <v>138</v>
      </c>
      <c r="E69" s="43"/>
      <c r="F69" s="43"/>
      <c r="G69" s="54">
        <v>350000</v>
      </c>
      <c r="H69" s="59">
        <f t="shared" si="3"/>
        <v>21000000</v>
      </c>
      <c r="I69" s="60">
        <v>0.08</v>
      </c>
      <c r="J69" s="61">
        <f t="shared" si="4"/>
        <v>1680000</v>
      </c>
      <c r="K69" s="59">
        <f t="shared" si="5"/>
        <v>22680000</v>
      </c>
      <c r="L69" s="45"/>
    </row>
    <row r="70" spans="1:12" s="25" customFormat="1" ht="15.6" x14ac:dyDescent="0.3">
      <c r="A70" s="53" t="s">
        <v>141</v>
      </c>
      <c r="B70" s="55" t="s">
        <v>142</v>
      </c>
      <c r="C70" s="57">
        <v>1</v>
      </c>
      <c r="D70" s="58" t="s">
        <v>143</v>
      </c>
      <c r="E70" s="43"/>
      <c r="F70" s="43"/>
      <c r="G70" s="54">
        <v>15000</v>
      </c>
      <c r="H70" s="59">
        <f t="shared" si="3"/>
        <v>15000</v>
      </c>
      <c r="I70" s="60">
        <v>0.08</v>
      </c>
      <c r="J70" s="61">
        <f t="shared" si="4"/>
        <v>1200</v>
      </c>
      <c r="K70" s="59">
        <f t="shared" si="5"/>
        <v>16200</v>
      </c>
      <c r="L70" s="45"/>
    </row>
    <row r="71" spans="1:12" s="25" customFormat="1" ht="31.2" x14ac:dyDescent="0.3">
      <c r="A71" s="53" t="s">
        <v>144</v>
      </c>
      <c r="B71" s="55" t="s">
        <v>85</v>
      </c>
      <c r="C71" s="57">
        <v>1</v>
      </c>
      <c r="D71" s="58" t="s">
        <v>39</v>
      </c>
      <c r="E71" s="43"/>
      <c r="F71" s="43"/>
      <c r="G71" s="54">
        <v>5000000</v>
      </c>
      <c r="H71" s="59">
        <f t="shared" si="3"/>
        <v>5000000</v>
      </c>
      <c r="I71" s="60">
        <v>0.08</v>
      </c>
      <c r="J71" s="61">
        <f t="shared" si="4"/>
        <v>400000</v>
      </c>
      <c r="K71" s="59">
        <f t="shared" si="5"/>
        <v>5400000</v>
      </c>
      <c r="L71" s="45"/>
    </row>
    <row r="72" spans="1:12" ht="15.6" x14ac:dyDescent="0.3">
      <c r="A72" s="17"/>
      <c r="B72" s="18"/>
      <c r="C72" s="17"/>
      <c r="D72" s="17"/>
      <c r="E72" s="19"/>
      <c r="F72" s="20"/>
      <c r="G72" s="21"/>
      <c r="H72" s="27"/>
      <c r="I72" s="37"/>
      <c r="J72" s="33"/>
      <c r="K72" s="33"/>
      <c r="L72" s="22"/>
    </row>
    <row r="73" spans="1:12" ht="15.6" x14ac:dyDescent="0.3">
      <c r="A73" s="66" t="s">
        <v>15</v>
      </c>
      <c r="B73" s="66"/>
      <c r="C73" s="66"/>
      <c r="D73" s="66"/>
      <c r="E73" s="66"/>
      <c r="F73" s="66"/>
      <c r="G73" s="66"/>
      <c r="H73" s="28"/>
      <c r="I73" s="38"/>
      <c r="J73" s="34"/>
      <c r="K73" s="28">
        <f>SUM(H8:H71)</f>
        <v>1834835000</v>
      </c>
      <c r="L73" s="16"/>
    </row>
    <row r="74" spans="1:12" ht="15.6" x14ac:dyDescent="0.3">
      <c r="A74" s="66" t="s">
        <v>10</v>
      </c>
      <c r="B74" s="66"/>
      <c r="C74" s="66"/>
      <c r="D74" s="66"/>
      <c r="E74" s="66"/>
      <c r="F74" s="66"/>
      <c r="G74" s="66"/>
      <c r="H74" s="28"/>
      <c r="I74" s="38"/>
      <c r="J74" s="34"/>
      <c r="K74" s="28">
        <f>SUM(J8:J71)</f>
        <v>146786800</v>
      </c>
      <c r="L74" s="16"/>
    </row>
    <row r="75" spans="1:12" ht="15.6" x14ac:dyDescent="0.3">
      <c r="A75" s="66" t="s">
        <v>16</v>
      </c>
      <c r="B75" s="66"/>
      <c r="C75" s="66"/>
      <c r="D75" s="66"/>
      <c r="E75" s="66"/>
      <c r="F75" s="66"/>
      <c r="G75" s="66"/>
      <c r="H75" s="29"/>
      <c r="I75" s="39"/>
      <c r="J75" s="34"/>
      <c r="K75" s="28">
        <f>K73+K74</f>
        <v>1981621800</v>
      </c>
      <c r="L75" s="16"/>
    </row>
    <row r="76" spans="1:12" ht="16.8" x14ac:dyDescent="0.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1:12" x14ac:dyDescent="0.3">
      <c r="E77" s="4"/>
      <c r="F77" s="4"/>
      <c r="G77" s="9"/>
      <c r="H77" s="30"/>
      <c r="I77" s="40"/>
      <c r="J77" s="30"/>
      <c r="K77" s="30"/>
    </row>
    <row r="78" spans="1:12" x14ac:dyDescent="0.3">
      <c r="G78" s="10"/>
      <c r="H78" s="31"/>
      <c r="I78" s="41"/>
      <c r="J78" s="35"/>
      <c r="K78" s="35"/>
      <c r="L78" s="7"/>
    </row>
    <row r="79" spans="1:12" x14ac:dyDescent="0.3">
      <c r="G79" s="10"/>
      <c r="J79" s="35"/>
      <c r="K79" s="35"/>
      <c r="L79" s="7"/>
    </row>
    <row r="80" spans="1:12" x14ac:dyDescent="0.3">
      <c r="E80" s="5"/>
      <c r="F80" s="5"/>
      <c r="G80" s="10"/>
      <c r="H80" s="31"/>
      <c r="I80" s="41"/>
      <c r="J80" s="35"/>
      <c r="K80" s="35"/>
      <c r="L80" s="7"/>
    </row>
    <row r="81" spans="5:12" x14ac:dyDescent="0.3">
      <c r="G81" s="11"/>
      <c r="J81" s="35"/>
      <c r="K81" s="35"/>
      <c r="L81" s="7"/>
    </row>
    <row r="82" spans="5:12" x14ac:dyDescent="0.3">
      <c r="E82" s="6"/>
      <c r="F82" s="6"/>
      <c r="G82" s="11"/>
      <c r="J82" s="35"/>
      <c r="K82" s="35"/>
      <c r="L82" s="7"/>
    </row>
  </sheetData>
  <autoFilter ref="A7:L71" xr:uid="{00000000-0001-0000-0000-000000000000}"/>
  <mergeCells count="19">
    <mergeCell ref="A73:G73"/>
    <mergeCell ref="A75:G75"/>
    <mergeCell ref="A74:G74"/>
    <mergeCell ref="A76:L76"/>
    <mergeCell ref="K6:K7"/>
    <mergeCell ref="L6:L7"/>
    <mergeCell ref="A1:L1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  <mergeCell ref="H6:H7"/>
    <mergeCell ref="I6:J6"/>
  </mergeCells>
  <phoneticPr fontId="17" type="noConversion"/>
  <conditionalFormatting sqref="H73:H74">
    <cfRule type="expression" dxfId="1" priority="2">
      <formula>$H$85&lt;&gt;$L$85</formula>
    </cfRule>
  </conditionalFormatting>
  <conditionalFormatting sqref="K73:K75">
    <cfRule type="expression" dxfId="0" priority="1">
      <formula>$H$85&lt;&gt;$L$85</formula>
    </cfRule>
  </conditionalFormatting>
  <printOptions horizontalCentered="1"/>
  <pageMargins left="0.18" right="0.17" top="0.34" bottom="0.32" header="0.11" footer="0.14000000000000001"/>
  <pageSetup paperSize="9" scale="6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BF9A-8466-4271-B33F-FB70CF154FBB}">
  <dimension ref="B2:C6"/>
  <sheetViews>
    <sheetView workbookViewId="0">
      <selection activeCell="C2" sqref="C2"/>
    </sheetView>
  </sheetViews>
  <sheetFormatPr defaultRowHeight="15.6" x14ac:dyDescent="0.3"/>
  <cols>
    <col min="1" max="1" width="8.88671875" style="24"/>
    <col min="2" max="2" width="13.44140625" style="24" bestFit="1" customWidth="1"/>
    <col min="3" max="3" width="40.44140625" style="24" bestFit="1" customWidth="1"/>
    <col min="4" max="16384" width="8.88671875" style="24"/>
  </cols>
  <sheetData>
    <row r="2" spans="2:3" x14ac:dyDescent="0.3">
      <c r="B2" s="23" t="s">
        <v>18</v>
      </c>
      <c r="C2" s="24" t="s">
        <v>145</v>
      </c>
    </row>
    <row r="3" spans="2:3" x14ac:dyDescent="0.3">
      <c r="B3" s="23" t="s">
        <v>19</v>
      </c>
      <c r="C3" s="24" t="s">
        <v>146</v>
      </c>
    </row>
    <row r="4" spans="2:3" x14ac:dyDescent="0.3">
      <c r="B4" s="23" t="s">
        <v>20</v>
      </c>
      <c r="C4" s="24" t="s">
        <v>147</v>
      </c>
    </row>
    <row r="5" spans="2:3" x14ac:dyDescent="0.3">
      <c r="B5" s="23" t="s">
        <v>21</v>
      </c>
      <c r="C5" s="24" t="s">
        <v>148</v>
      </c>
    </row>
    <row r="6" spans="2:3" x14ac:dyDescent="0.3">
      <c r="B6" s="23" t="s">
        <v>22</v>
      </c>
      <c r="C6" s="2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Scada_TTLL</vt:lpstr>
      <vt:lpstr>Thông tin dự án</vt:lpstr>
      <vt:lpstr>Scada_TTLL!Print_Area</vt:lpstr>
      <vt:lpstr>Scada_TTLL!Print_Titles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2025-03-28T02:44:09Z</dcterms:created>
  <dcterms:modified xsi:type="dcterms:W3CDTF">2026-09-07T06:55:12Z</dcterms:modified>
  <cp:category/>
</cp:coreProperties>
</file>