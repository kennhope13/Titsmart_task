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cường\Trạm điện\110kV Kế Sách- Phụng Hiệp\hồ sơ nộp thầu 110kV Kế Sách- Phụng Hiệp\đặc tính kỹ thuật\"/>
    </mc:Choice>
  </mc:AlternateContent>
  <xr:revisionPtr revIDLastSave="0" documentId="13_ncr:1_{AAFCD52B-6085-407E-AB5D-619904969F11}" xr6:coauthVersionLast="47" xr6:coauthVersionMax="47" xr10:uidLastSave="{00000000-0000-0000-0000-000000000000}"/>
  <bookViews>
    <workbookView xWindow="-108" yWindow="-108" windowWidth="23256" windowHeight="12456" tabRatio="899" xr2:uid="{00000000-000D-0000-FFFF-FFFF00000000}"/>
  </bookViews>
  <sheets>
    <sheet name="Mục Lục" sheetId="11" r:id="rId1"/>
    <sheet name="1.HT TTLL" sheetId="72" r:id="rId2"/>
    <sheet name="2.HT SCADA" sheetId="73" r:id="rId3"/>
    <sheet name="3.Camera" sheetId="75" r:id="rId4"/>
    <sheet name="4.HT PCCC" sheetId="76" r:id="rId5"/>
    <sheet name="5.RS232RS485" sheetId="77" r:id="rId6"/>
    <sheet name="6.Connector RS232" sheetId="78" r:id="rId7"/>
    <sheet name="7.CAT6" sheetId="42" r:id="rId8"/>
    <sheet name="8.Module SFP" sheetId="79" r:id="rId9"/>
    <sheet name="9.ODF" sheetId="39" r:id="rId10"/>
    <sheet name="10.Cáp NMOC" sheetId="40" r:id="rId11"/>
    <sheet name="11.HT Đk máy tính" sheetId="80" r:id="rId12"/>
    <sheet name="12.Ethernet Switch " sheetId="81" r:id="rId13"/>
    <sheet name="13.Dây nhảy quang" sheetId="41" r:id="rId14"/>
    <sheet name="14.Module ghép stack" sheetId="82" r:id="rId15"/>
  </sheets>
  <definedNames>
    <definedName name="_Hlk187915364" localSheetId="4">'4.HT PCCC'!$C$291</definedName>
    <definedName name="_Toc177393993" localSheetId="4">'4.HT PCCC'!$C$523</definedName>
    <definedName name="_Toc177393994" localSheetId="4">'4.HT PCCC'!$C$711</definedName>
    <definedName name="_Toc469402498" localSheetId="4">'4.HT PCCC'!$C$558</definedName>
    <definedName name="_Toc469402515" localSheetId="4">'4.HT PCCC'!$C$559</definedName>
    <definedName name="_Toc469402516" localSheetId="4">'4.HT PCCC'!$C$560</definedName>
    <definedName name="_Toc469402542" localSheetId="4">'4.HT PCCC'!$C$722</definedName>
    <definedName name="_Toc469402543" localSheetId="4">'4.HT PCCC'!$C$723</definedName>
    <definedName name="_Toc469402544" localSheetId="4">'4.HT PCCC'!$C$724</definedName>
    <definedName name="_Toc469402545" localSheetId="4">'4.HT PCCC'!$C$725</definedName>
    <definedName name="_Toc469402546" localSheetId="4">'4.HT PCCC'!$C$727</definedName>
    <definedName name="_Toc469402547" localSheetId="4">'4.HT PCCC'!$C$728</definedName>
    <definedName name="_Toc469402548" localSheetId="4">'4.HT PCCC'!$C$729</definedName>
    <definedName name="_Toc469402549" localSheetId="4">'4.HT PCCC'!$C$730</definedName>
    <definedName name="_Toc469402550" localSheetId="4">'4.HT PCCC'!$C$731</definedName>
    <definedName name="_Toc469402551" localSheetId="4">'4.HT PCCC'!$C$732</definedName>
    <definedName name="_Toc469402552" localSheetId="4">'4.HT PCCC'!$C$733</definedName>
    <definedName name="_Toc469402553" localSheetId="4">'4.HT PCCC'!$C$734</definedName>
    <definedName name="_Toc469402554" localSheetId="4">'4.HT PCCC'!$C$735</definedName>
    <definedName name="_Toc469402555" localSheetId="4">'4.HT PCCC'!$C$736</definedName>
    <definedName name="_Toc469402556" localSheetId="4">'4.HT PCCC'!$C$737</definedName>
    <definedName name="_Toc469402557" localSheetId="4">'4.HT PCCC'!$C$738</definedName>
    <definedName name="_Toc469402558" localSheetId="4">'4.HT PCCC'!$C$739</definedName>
    <definedName name="_Toc469402559" localSheetId="4">'4.HT PCCC'!$C$740</definedName>
    <definedName name="_Toc469402560" localSheetId="4">'4.HT PCCC'!$C$741</definedName>
    <definedName name="_Toc469402561" localSheetId="4">'4.HT PCCC'!$C$742</definedName>
    <definedName name="_Toc485909131" localSheetId="4">'4.HT PCCC'!$C$542</definedName>
    <definedName name="_Toc485909132" localSheetId="4">'4.HT PCCC'!$C$543</definedName>
    <definedName name="_Toc485909133" localSheetId="4">'4.HT PCCC'!$C$544</definedName>
    <definedName name="_Toc485909134" localSheetId="4">'4.HT PCCC'!$C$545</definedName>
    <definedName name="_Toc485909135" localSheetId="4">'4.HT PCCC'!$C$546</definedName>
    <definedName name="_Toc485909136" localSheetId="4">'4.HT PCCC'!$C$547</definedName>
    <definedName name="_Toc485909137" localSheetId="4">'4.HT PCCC'!$C$548</definedName>
    <definedName name="_Toc485909138" localSheetId="4">'4.HT PCCC'!$C$549</definedName>
    <definedName name="_Toc485909139" localSheetId="4">'4.HT PCCC'!$C$550</definedName>
    <definedName name="_Toc485909140" localSheetId="4">'4.HT PCCC'!$C$551</definedName>
    <definedName name="_Toc485909141" localSheetId="4">'4.HT PCCC'!$C$552</definedName>
    <definedName name="_Toc485909142" localSheetId="4">'4.HT PCCC'!$C$553</definedName>
    <definedName name="_Toc485909143" localSheetId="4">'4.HT PCCC'!$C$554</definedName>
    <definedName name="_Toc485909144" localSheetId="4">'4.HT PCCC'!$C$555</definedName>
    <definedName name="_Toc485909145" localSheetId="4">'4.HT PCCC'!$C$556</definedName>
    <definedName name="_Toc485909146" localSheetId="4">'4.HT PCCC'!$C$561</definedName>
    <definedName name="_Toc485909147" localSheetId="4">'4.HT PCCC'!$C$562</definedName>
    <definedName name="_Toc485909148" localSheetId="4">'4.HT PCCC'!$C$563</definedName>
    <definedName name="_Toc485909149" localSheetId="4">'4.HT PCCC'!$C$564</definedName>
    <definedName name="_Toc485909150" localSheetId="4">'4.HT PCCC'!$C$565</definedName>
    <definedName name="_Toc485909151" localSheetId="4">'4.HT PCCC'!$C$566</definedName>
    <definedName name="_Toc485909152" localSheetId="4">'4.HT PCCC'!$C$567</definedName>
    <definedName name="_Toc485909153" localSheetId="4">'4.HT PCCC'!$C$568</definedName>
    <definedName name="_Toc485909154" localSheetId="4">'4.HT PCCC'!$C$569</definedName>
    <definedName name="_Toc485909155" localSheetId="4">'4.HT PCCC'!$C$570</definedName>
    <definedName name="_Toc485909156" localSheetId="4">'4.HT PCCC'!$C$571</definedName>
    <definedName name="_Toc485909157" localSheetId="4">'4.HT PCCC'!$C$572</definedName>
    <definedName name="_Toc485909158" localSheetId="4">'4.HT PCCC'!$C$573</definedName>
    <definedName name="_Toc485909159" localSheetId="4">'4.HT PCCC'!$C$574</definedName>
    <definedName name="_Toc485909160" localSheetId="4">'4.HT PCCC'!$C$575</definedName>
    <definedName name="_Toc485909161" localSheetId="4">'4.HT PCCC'!$C$576</definedName>
    <definedName name="_Toc485909162" localSheetId="4">'4.HT PCCC'!$C$577</definedName>
    <definedName name="_Toc485909163" localSheetId="4">'4.HT PCCC'!$C$578</definedName>
    <definedName name="_Toc485909164" localSheetId="4">'4.HT PCCC'!$C$579</definedName>
    <definedName name="_Toc485909165" localSheetId="4">'4.HT PCCC'!$C$580</definedName>
    <definedName name="_Toc485909166" localSheetId="4">'4.HT PCCC'!$C$581</definedName>
    <definedName name="_Toc485909167" localSheetId="4">'4.HT PCCC'!$C$582</definedName>
    <definedName name="_Toc485909168" localSheetId="4">'4.HT PCCC'!$C$601</definedName>
    <definedName name="_Toc485909169" localSheetId="4">'4.HT PCCC'!$C$602</definedName>
    <definedName name="_Toc485909170" localSheetId="4">'4.HT PCCC'!$C$603</definedName>
    <definedName name="_Toc485909171" localSheetId="4">'4.HT PCCC'!$C$604</definedName>
    <definedName name="_Toc488740409" localSheetId="4">'4.HT PCCC'!$C$557</definedName>
    <definedName name="_Toc54777165" localSheetId="4">'4.HT PCCC'!$C$780</definedName>
    <definedName name="_Toc54777166" localSheetId="4">'4.HT PCCC'!$C$781</definedName>
    <definedName name="_Toc54777167" localSheetId="4">'4.HT PCCC'!$C$782</definedName>
    <definedName name="_Toc54777168" localSheetId="4">'4.HT PCCC'!$C$783</definedName>
    <definedName name="_Toc54777169" localSheetId="4">'4.HT PCCC'!$C$784</definedName>
    <definedName name="_Toc54777170" localSheetId="4">'4.HT PCCC'!$C$785</definedName>
    <definedName name="_Toc54777171" localSheetId="4">'4.HT PCCC'!$C$786</definedName>
    <definedName name="_Toc54777172" localSheetId="4">'4.HT PCCC'!$C$787</definedName>
    <definedName name="_Toc54777173" localSheetId="4">'4.HT PCCC'!$C$788</definedName>
    <definedName name="_Toc54777174" localSheetId="4">'4.HT PCCC'!$C$789</definedName>
    <definedName name="_Toc54777175" localSheetId="4">'4.HT PCCC'!$C$790</definedName>
    <definedName name="_xlnm.Print_Area" localSheetId="0">'Mục Lục'!$B$1:$D$85</definedName>
    <definedName name="_xlnm.Print_Titles" localSheetId="1">'1.HT TTLL'!$2:$2</definedName>
    <definedName name="_xlnm.Print_Titles" localSheetId="10">'10.Cáp NMOC'!$2:$2</definedName>
    <definedName name="_xlnm.Print_Titles" localSheetId="11">'11.HT Đk máy tính'!$2:$2</definedName>
    <definedName name="_xlnm.Print_Titles" localSheetId="12">'12.Ethernet Switch '!$2:$2</definedName>
    <definedName name="_xlnm.Print_Titles" localSheetId="2">'2.HT SCADA'!$2:$2</definedName>
    <definedName name="_xlnm.Print_Titles" localSheetId="3">'3.Camera'!$4:$4</definedName>
    <definedName name="_xlnm.Print_Titles" localSheetId="4">'4.HT PCCC'!$64:$64</definedName>
    <definedName name="_xlnm.Print_Titles" localSheetId="5">'5.RS232RS485'!$2:$2</definedName>
    <definedName name="_xlnm.Print_Titles" localSheetId="6">'6.Connector RS232'!$2:$2</definedName>
    <definedName name="_xlnm.Print_Titles" localSheetId="0">'Mục Lục'!$3:$3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9" i="11" l="1"/>
  <c r="D85" i="11"/>
  <c r="D84" i="11"/>
  <c r="D83" i="11"/>
  <c r="D82" i="11"/>
  <c r="D81" i="11"/>
  <c r="D80" i="11"/>
  <c r="D78" i="11"/>
  <c r="D77" i="11"/>
  <c r="D76" i="11"/>
  <c r="D75" i="11"/>
  <c r="D74" i="11"/>
  <c r="D73" i="11"/>
  <c r="D72" i="11"/>
  <c r="D71" i="11"/>
  <c r="D69" i="11"/>
  <c r="D68" i="11"/>
  <c r="D67" i="11"/>
  <c r="D66" i="11"/>
  <c r="D65" i="11"/>
  <c r="D64" i="11"/>
  <c r="D63" i="11"/>
  <c r="D62" i="11"/>
  <c r="D61" i="11"/>
  <c r="D59" i="11"/>
  <c r="D58" i="11"/>
  <c r="D57" i="11"/>
  <c r="D56" i="11"/>
  <c r="D55" i="11"/>
  <c r="D54" i="11"/>
  <c r="D53" i="11"/>
  <c r="D52" i="11"/>
  <c r="D51" i="11"/>
  <c r="D50" i="11"/>
  <c r="D49" i="11"/>
  <c r="D48" i="11"/>
  <c r="D47" i="11"/>
  <c r="D46" i="11"/>
  <c r="D45" i="11"/>
  <c r="D44" i="11"/>
  <c r="D43" i="11"/>
  <c r="D42" i="11"/>
  <c r="D41" i="11"/>
  <c r="D40" i="11"/>
  <c r="D39" i="11"/>
  <c r="D38" i="11"/>
  <c r="D35" i="11"/>
  <c r="D34" i="11"/>
  <c r="D33" i="11"/>
  <c r="D32" i="11"/>
  <c r="D31" i="11"/>
  <c r="D30" i="11"/>
  <c r="D29" i="11"/>
  <c r="D28" i="11"/>
  <c r="D27" i="11"/>
  <c r="D26" i="11"/>
  <c r="D24" i="11"/>
  <c r="D23" i="11"/>
  <c r="D22" i="11"/>
  <c r="D21" i="11"/>
  <c r="D20" i="11"/>
  <c r="D19" i="11"/>
  <c r="D18" i="11"/>
  <c r="D17" i="11"/>
  <c r="D16" i="11"/>
  <c r="D15" i="11"/>
  <c r="D14" i="11"/>
  <c r="D13" i="11"/>
  <c r="D12" i="11"/>
  <c r="D11" i="11"/>
  <c r="D10" i="11"/>
  <c r="D8" i="11"/>
  <c r="D7" i="11"/>
  <c r="D6" i="11"/>
  <c r="D5" i="11"/>
  <c r="C85" i="11"/>
  <c r="B85" i="11"/>
  <c r="C84" i="11"/>
  <c r="B84" i="11"/>
  <c r="C83" i="11"/>
  <c r="B83" i="11"/>
  <c r="C82" i="11"/>
  <c r="B82" i="11"/>
  <c r="C81" i="11"/>
  <c r="B81" i="11"/>
  <c r="C80" i="11"/>
  <c r="B80" i="11"/>
  <c r="C79" i="11"/>
  <c r="B79" i="11"/>
  <c r="C78" i="11"/>
  <c r="B78" i="11"/>
  <c r="C77" i="11"/>
  <c r="B77" i="11"/>
  <c r="C76" i="11"/>
  <c r="B76" i="11"/>
  <c r="C75" i="11"/>
  <c r="B75" i="11"/>
  <c r="C74" i="11"/>
  <c r="B74" i="11"/>
  <c r="C73" i="11"/>
  <c r="B73" i="11"/>
  <c r="C72" i="11"/>
  <c r="B72" i="11"/>
  <c r="C71" i="11"/>
  <c r="B71" i="11"/>
  <c r="C70" i="11"/>
  <c r="B70" i="11"/>
  <c r="C69" i="11"/>
  <c r="B69" i="11"/>
  <c r="C68" i="11"/>
  <c r="B68" i="11"/>
  <c r="C67" i="11"/>
  <c r="B67" i="11"/>
  <c r="C66" i="11"/>
  <c r="B66" i="11"/>
  <c r="C65" i="11"/>
  <c r="B65" i="11"/>
  <c r="C64" i="11"/>
  <c r="B64" i="11"/>
  <c r="C63" i="11"/>
  <c r="B63" i="11"/>
  <c r="C62" i="11"/>
  <c r="B62" i="11"/>
  <c r="C61" i="11"/>
  <c r="B61" i="11"/>
  <c r="C60" i="11"/>
  <c r="B60" i="11"/>
  <c r="C59" i="11"/>
  <c r="B59" i="11"/>
  <c r="C58" i="11"/>
  <c r="B58" i="11"/>
  <c r="C57" i="11"/>
  <c r="B57" i="11"/>
  <c r="C56" i="11"/>
  <c r="B56" i="11"/>
  <c r="C55" i="11"/>
  <c r="B55" i="11"/>
  <c r="C54" i="11"/>
  <c r="B54" i="11"/>
  <c r="C53" i="11"/>
  <c r="B53" i="11"/>
  <c r="C52" i="11"/>
  <c r="B52" i="11"/>
  <c r="C51" i="11"/>
  <c r="B51" i="11"/>
  <c r="C50" i="11"/>
  <c r="B50" i="11"/>
  <c r="C49" i="11"/>
  <c r="B49" i="11"/>
  <c r="C48" i="11"/>
  <c r="B48" i="11"/>
  <c r="C47" i="11"/>
  <c r="B47" i="11"/>
  <c r="C46" i="11"/>
  <c r="B46" i="11"/>
  <c r="C45" i="11"/>
  <c r="B45" i="11"/>
  <c r="C44" i="11"/>
  <c r="B44" i="11"/>
  <c r="C43" i="11"/>
  <c r="B43" i="11"/>
  <c r="C42" i="11"/>
  <c r="B42" i="11"/>
  <c r="C41" i="11"/>
  <c r="B41" i="11"/>
  <c r="C40" i="11"/>
  <c r="B40" i="11"/>
  <c r="C39" i="11"/>
  <c r="B39" i="11"/>
  <c r="C38" i="11"/>
  <c r="B38" i="11"/>
  <c r="C37" i="11"/>
  <c r="C35" i="11"/>
  <c r="C34" i="11"/>
  <c r="C33" i="11"/>
  <c r="C32" i="11"/>
  <c r="C31" i="11"/>
  <c r="C30" i="11"/>
  <c r="C29" i="11"/>
  <c r="C28" i="11"/>
  <c r="C27" i="11"/>
  <c r="C26" i="11"/>
  <c r="C24" i="11"/>
  <c r="C23" i="11"/>
  <c r="C22" i="11"/>
  <c r="C21" i="11"/>
  <c r="C20" i="11"/>
  <c r="C19" i="11"/>
  <c r="C18" i="11"/>
  <c r="C17" i="11"/>
  <c r="C16" i="11"/>
  <c r="C15" i="11"/>
  <c r="C14" i="11"/>
  <c r="C13" i="11"/>
  <c r="C12" i="11"/>
  <c r="C11" i="11"/>
  <c r="C10" i="11"/>
  <c r="C9" i="11"/>
  <c r="C8" i="11"/>
  <c r="C7" i="11"/>
  <c r="C6" i="11"/>
  <c r="C5" i="11"/>
  <c r="C4" i="11"/>
</calcChain>
</file>

<file path=xl/sharedStrings.xml><?xml version="1.0" encoding="utf-8"?>
<sst xmlns="http://schemas.openxmlformats.org/spreadsheetml/2006/main" count="5222" uniqueCount="1580">
  <si>
    <t>STT</t>
  </si>
  <si>
    <t>Nhà sản xuất/Nước sản xuất</t>
  </si>
  <si>
    <t>Yêu cầu</t>
  </si>
  <si>
    <t>Nhà thầu chào</t>
  </si>
  <si>
    <t>A</t>
  </si>
  <si>
    <t>Chủng loại</t>
  </si>
  <si>
    <t>B</t>
  </si>
  <si>
    <t>Nêu cụ thể</t>
  </si>
  <si>
    <t>ISO 9001 hoặc tương đương</t>
  </si>
  <si>
    <t>Tiêu chuẩn áp dụng</t>
  </si>
  <si>
    <t>I</t>
  </si>
  <si>
    <t>TT</t>
  </si>
  <si>
    <t>Mô tả</t>
  </si>
  <si>
    <t>1.</t>
  </si>
  <si>
    <t>2.</t>
  </si>
  <si>
    <t>3.</t>
  </si>
  <si>
    <t>4.</t>
  </si>
  <si>
    <t>5.</t>
  </si>
  <si>
    <t>6.</t>
  </si>
  <si>
    <t>7.</t>
  </si>
  <si>
    <t>8.</t>
  </si>
  <si>
    <t>9.</t>
  </si>
  <si>
    <t>9.3</t>
  </si>
  <si>
    <t>10.</t>
  </si>
  <si>
    <t>11.</t>
  </si>
  <si>
    <t>12.</t>
  </si>
  <si>
    <t>13.</t>
  </si>
  <si>
    <t>14.</t>
  </si>
  <si>
    <t>Đáp ứng</t>
  </si>
  <si>
    <t>5.1</t>
  </si>
  <si>
    <t>5.2</t>
  </si>
  <si>
    <t>5.3</t>
  </si>
  <si>
    <t>Nhà sản xuất</t>
  </si>
  <si>
    <t>Nước sản xuất</t>
  </si>
  <si>
    <t>Tiêu chuẩn quản lý chất lượng sản phẩm</t>
  </si>
  <si>
    <t>9.1</t>
  </si>
  <si>
    <t>9.2</t>
  </si>
  <si>
    <t>Mã hiệu sản phẩm</t>
  </si>
  <si>
    <t>Kích thước</t>
  </si>
  <si>
    <t>Có</t>
  </si>
  <si>
    <t>Tiêu chuẩn quản lý chất lượng</t>
  </si>
  <si>
    <t>ISO 9001</t>
  </si>
  <si>
    <t>BẢNG ĐÁP ỨNG THÔNG SỐ KỸ THUẬT</t>
  </si>
  <si>
    <t>Chủng loại vật tư, thiết bị</t>
  </si>
  <si>
    <t>Nguồn gốc/ Xuất xứ</t>
  </si>
  <si>
    <t>8.1</t>
  </si>
  <si>
    <t>8.2</t>
  </si>
  <si>
    <t>8.3</t>
  </si>
  <si>
    <t>Stt</t>
  </si>
  <si>
    <t>Nhiệt độ làm việc</t>
  </si>
  <si>
    <t>Mã hiệu</t>
  </si>
  <si>
    <t>10.1</t>
  </si>
  <si>
    <t>10.2</t>
  </si>
  <si>
    <t>Loại dây</t>
  </si>
  <si>
    <t>Tối thiểu AMP cat6</t>
  </si>
  <si>
    <t>Tín hiệu nhận được</t>
  </si>
  <si>
    <t>70-80m</t>
  </si>
  <si>
    <t>Vỏ</t>
  </si>
  <si>
    <t>Chống cháy, chống nhiễu</t>
  </si>
  <si>
    <t>Tốc độ hỗ trợ</t>
  </si>
  <si>
    <t>Gigabit Ethernet hoặc tương đương</t>
  </si>
  <si>
    <t>Đơn mode</t>
  </si>
  <si>
    <t>Hàng kẹp</t>
  </si>
  <si>
    <t>Cáp điều khiển</t>
  </si>
  <si>
    <t>Cáp mạng CAT6</t>
  </si>
  <si>
    <t>Nguồn cung cấp</t>
  </si>
  <si>
    <t>5</t>
  </si>
  <si>
    <t>6.1</t>
  </si>
  <si>
    <t>Nguồn điện cung cấp</t>
  </si>
  <si>
    <t>6.2</t>
  </si>
  <si>
    <t>6.3</t>
  </si>
  <si>
    <t>6.4</t>
  </si>
  <si>
    <t>6.5</t>
  </si>
  <si>
    <t>Phụ kiện</t>
  </si>
  <si>
    <t>Cổng giao tiếp</t>
  </si>
  <si>
    <t>Loại</t>
  </si>
  <si>
    <t>Điện áp định mức</t>
  </si>
  <si>
    <t>Khả năng chịu đựng dòng ngắn mạch</t>
  </si>
  <si>
    <t>Lắp đặt</t>
  </si>
  <si>
    <t>3.1</t>
  </si>
  <si>
    <t>3.2</t>
  </si>
  <si>
    <t>Kích thước:</t>
  </si>
  <si>
    <t>Cấp bảo vệ tối thiểu</t>
  </si>
  <si>
    <t>IP 41</t>
  </si>
  <si>
    <t>B1</t>
  </si>
  <si>
    <t>B2</t>
  </si>
  <si>
    <t>B3</t>
  </si>
  <si>
    <t>MCB</t>
  </si>
  <si>
    <t>Thông số kỹ thuật:</t>
  </si>
  <si>
    <t>7.1</t>
  </si>
  <si>
    <t>7.2</t>
  </si>
  <si>
    <t>7.3</t>
  </si>
  <si>
    <t>7.4</t>
  </si>
  <si>
    <t>7.5</t>
  </si>
  <si>
    <t>7.6</t>
  </si>
  <si>
    <t>7.7</t>
  </si>
  <si>
    <t>7.8</t>
  </si>
  <si>
    <t>7.9</t>
  </si>
  <si>
    <t>7.10</t>
  </si>
  <si>
    <t>7.11</t>
  </si>
  <si>
    <t>7.12</t>
  </si>
  <si>
    <t>8.4</t>
  </si>
  <si>
    <t>7.13</t>
  </si>
  <si>
    <t>7.14</t>
  </si>
  <si>
    <t>7.15</t>
  </si>
  <si>
    <t>10.3</t>
  </si>
  <si>
    <t>10.4</t>
  </si>
  <si>
    <t>Số lượng datapoint</t>
  </si>
  <si>
    <t>Độ trễ của tín hiệu:</t>
  </si>
  <si>
    <t>≤ 4s</t>
  </si>
  <si>
    <t>Chức năng lập trình PLC</t>
  </si>
  <si>
    <t>Kèm theo</t>
  </si>
  <si>
    <t>Thiết bị Ethernet Switch Access</t>
  </si>
  <si>
    <t>Giao diện quản lý thiết bị:</t>
  </si>
  <si>
    <t>Ethernet RJ-45</t>
  </si>
  <si>
    <t>Tiêu chuẩn:</t>
  </si>
  <si>
    <t>Giao thức Ring</t>
  </si>
  <si>
    <t>Hỗ trợ cấu hình Web:</t>
  </si>
  <si>
    <t>Nhiệt độ làm việc:</t>
  </si>
  <si>
    <t>0℃ ~ +70℃</t>
  </si>
  <si>
    <t>Nguồn cung cấp:</t>
  </si>
  <si>
    <t>Đảm bảo không có mã độc</t>
  </si>
  <si>
    <t>Nhà sản xuất phải có cam kết không có mã độc.</t>
  </si>
  <si>
    <t>- Trọn bộ phụ kiện, phần mềm, cáp kết nối, cáp nhảy quang, đầu nối…</t>
  </si>
  <si>
    <t>-    ≥ 4x Dual port 1000BaseT- BaseSx Lx/Zx(SFP)</t>
  </si>
  <si>
    <t>- Đáp ứng chuẩn IEEE: 802.3z; 802.3ab; 802.3u; 802.1w; 802.1D, 802.1p, 802.1Q, 802.1 AB, 802.1s, 802.3ad, 802.3x.</t>
  </si>
  <si>
    <t>Hộp đầu cuối cáp quang với ODF</t>
  </si>
  <si>
    <t>Ứng dụng</t>
  </si>
  <si>
    <t>- Cho đấu nối đầu cuối và phân phối 24 sợi quang.</t>
  </si>
  <si>
    <t>4</t>
  </si>
  <si>
    <t>- Trong tủ 19”</t>
  </si>
  <si>
    <t>Đầu nối</t>
  </si>
  <si>
    <t>- SC/APC</t>
  </si>
  <si>
    <t>Ngõ ra cáp</t>
  </si>
  <si>
    <t>- Sau tủ</t>
  </si>
  <si>
    <t>Phần cứng lắp đặt</t>
  </si>
  <si>
    <t>-   Đầy đủ 24 Pigtail SC/APC , cuộn nối cáp, máng bảo vệ chống co ngót do nhiệt, bộ phận nối và các phụ kiện thích hợp, v.v…</t>
  </si>
  <si>
    <t>-   Khay hàn, dây nối quang (pigtail) đơn mode, đầu giao tiếp APC tốt (có suy hao tiếp xúc và phản xạ ngược thấp) và các phụ kiện lắp đặt hợp bộ đầy đủ để phù hợp với thực tế sử dụng.</t>
  </si>
  <si>
    <t>Cáp quang Non-metallic (FO)</t>
  </si>
  <si>
    <t>Các đặc tính kỹ thuật sợi cáp quang:</t>
  </si>
  <si>
    <t>ITU-T G.652D</t>
  </si>
  <si>
    <t>Số sợi</t>
  </si>
  <si>
    <t>Bước sóng làm việc</t>
  </si>
  <si>
    <t>1310nm -1550nm</t>
  </si>
  <si>
    <t>Đường kính trường mode</t>
  </si>
  <si>
    <t>Sai số không đồng tâm của trường mode</t>
  </si>
  <si>
    <t>Đường kính lớp bao lõi</t>
  </si>
  <si>
    <t>Độ không tròn đều của vỏ</t>
  </si>
  <si>
    <t>Đường kính lớp vỏ bọc ngoài</t>
  </si>
  <si>
    <t>Hệ số suy hao tại bước sóng 1310nm</t>
  </si>
  <si>
    <t>Hệ số suy hao tại bước sóng 1550nm</t>
  </si>
  <si>
    <t>Hệ số tán sắc tại bước sóng 1310nm</t>
  </si>
  <si>
    <t>Hệ số tán sắc tại bước sóng 1550nm</t>
  </si>
  <si>
    <t>Bước sóng cắt</t>
  </si>
  <si>
    <t>Mức thử nghiệm sợi quang</t>
  </si>
  <si>
    <t>Mã màu</t>
  </si>
  <si>
    <t>EIA/TIA RS-598</t>
  </si>
  <si>
    <t>* Đặc tính kỹ thuật sợi cáp:</t>
  </si>
  <si>
    <t>Non-metallic lắp đặt trong ống và chôn trực tiếp trong đất</t>
  </si>
  <si>
    <t>Lực kéo đứt (RTS)</t>
  </si>
  <si>
    <t>Tải trọng phá hoại (kN)</t>
  </si>
  <si>
    <t>Bán kính uốn cong tối thiểu trong quá trình lắp đặt</t>
  </si>
  <si>
    <t>20 lần đường kính ngoài.</t>
  </si>
  <si>
    <t>Bán kính uốn cong tối thiểu khi lắp đặt treo</t>
  </si>
  <si>
    <t>10 lần đường kính ngoài</t>
  </si>
  <si>
    <t>Đường kính ngoài (mm)</t>
  </si>
  <si>
    <t>Loại vỏ bọc</t>
  </si>
  <si>
    <t>Chống gặm nhấm &amp; mối mọt HDPE</t>
  </si>
  <si>
    <t>Chống nước</t>
  </si>
  <si>
    <t>IEC-794-1-F5</t>
  </si>
  <si>
    <t>Độ ẩm tuyệt đối</t>
  </si>
  <si>
    <t>Tuổi thọ thiết kế của cáp.</t>
  </si>
  <si>
    <t>Tối thiểu 20 năm</t>
  </si>
  <si>
    <r>
      <t xml:space="preserve">(7,8 ÷ 9,5) </t>
    </r>
    <r>
      <rPr>
        <sz val="13"/>
        <color theme="1"/>
        <rFont val="Symbol"/>
        <family val="1"/>
        <charset val="2"/>
      </rPr>
      <t>m</t>
    </r>
    <r>
      <rPr>
        <sz val="13"/>
        <color theme="1"/>
        <rFont val="Times New Roman"/>
        <family val="1"/>
      </rPr>
      <t xml:space="preserve">m </t>
    </r>
    <r>
      <rPr>
        <sz val="13"/>
        <color theme="1"/>
        <rFont val="Symbol"/>
        <family val="1"/>
        <charset val="2"/>
      </rPr>
      <t>±</t>
    </r>
    <r>
      <rPr>
        <sz val="13"/>
        <color theme="1"/>
        <rFont val="Times New Roman"/>
        <family val="1"/>
      </rPr>
      <t>10%</t>
    </r>
  </si>
  <si>
    <r>
      <t>£</t>
    </r>
    <r>
      <rPr>
        <sz val="13"/>
        <color theme="1"/>
        <rFont val="Times New Roman"/>
        <family val="1"/>
      </rPr>
      <t xml:space="preserve"> 0,6</t>
    </r>
    <r>
      <rPr>
        <sz val="13"/>
        <color theme="1"/>
        <rFont val="Symbol"/>
        <family val="1"/>
        <charset val="2"/>
      </rPr>
      <t>m</t>
    </r>
    <r>
      <rPr>
        <sz val="13"/>
        <color theme="1"/>
        <rFont val="Times New Roman"/>
        <family val="1"/>
      </rPr>
      <t>m</t>
    </r>
  </si>
  <si>
    <r>
      <t>125</t>
    </r>
    <r>
      <rPr>
        <sz val="13"/>
        <color theme="1"/>
        <rFont val="Symbol"/>
        <family val="1"/>
        <charset val="2"/>
      </rPr>
      <t>m</t>
    </r>
    <r>
      <rPr>
        <sz val="13"/>
        <color theme="1"/>
        <rFont val="Times New Roman"/>
        <family val="1"/>
      </rPr>
      <t xml:space="preserve">m </t>
    </r>
    <r>
      <rPr>
        <sz val="13"/>
        <color theme="1"/>
        <rFont val="Symbol"/>
        <family val="1"/>
        <charset val="2"/>
      </rPr>
      <t>±</t>
    </r>
    <r>
      <rPr>
        <sz val="13"/>
        <color theme="1"/>
        <rFont val="Times New Roman"/>
        <family val="1"/>
      </rPr>
      <t>2</t>
    </r>
    <r>
      <rPr>
        <sz val="13"/>
        <color theme="1"/>
        <rFont val="Symbol"/>
        <family val="1"/>
        <charset val="2"/>
      </rPr>
      <t>m</t>
    </r>
    <r>
      <rPr>
        <sz val="13"/>
        <color theme="1"/>
        <rFont val="Times New Roman"/>
        <family val="1"/>
      </rPr>
      <t>m</t>
    </r>
  </si>
  <si>
    <r>
      <t>£</t>
    </r>
    <r>
      <rPr>
        <sz val="13"/>
        <color theme="1"/>
        <rFont val="Times New Roman"/>
        <family val="1"/>
      </rPr>
      <t xml:space="preserve"> 1%</t>
    </r>
  </si>
  <si>
    <r>
      <t>245</t>
    </r>
    <r>
      <rPr>
        <sz val="13"/>
        <color theme="1"/>
        <rFont val="Symbol"/>
        <family val="1"/>
        <charset val="2"/>
      </rPr>
      <t>m</t>
    </r>
    <r>
      <rPr>
        <sz val="13"/>
        <color theme="1"/>
        <rFont val="Times New Roman"/>
        <family val="1"/>
      </rPr>
      <t xml:space="preserve">m </t>
    </r>
    <r>
      <rPr>
        <sz val="13"/>
        <color theme="1"/>
        <rFont val="Symbol"/>
        <family val="1"/>
        <charset val="2"/>
      </rPr>
      <t>±</t>
    </r>
    <r>
      <rPr>
        <sz val="13"/>
        <color theme="1"/>
        <rFont val="Times New Roman"/>
        <family val="1"/>
      </rPr>
      <t>1</t>
    </r>
    <r>
      <rPr>
        <sz val="13"/>
        <color theme="1"/>
        <rFont val="Symbol"/>
        <family val="1"/>
        <charset val="2"/>
      </rPr>
      <t>m</t>
    </r>
    <r>
      <rPr>
        <sz val="13"/>
        <color theme="1"/>
        <rFont val="Times New Roman"/>
        <family val="1"/>
      </rPr>
      <t>m</t>
    </r>
  </si>
  <si>
    <r>
      <t>&lt;</t>
    </r>
    <r>
      <rPr>
        <sz val="13"/>
        <color theme="1"/>
        <rFont val="Times New Roman"/>
        <family val="1"/>
      </rPr>
      <t xml:space="preserve"> 0,4 dB/km</t>
    </r>
  </si>
  <si>
    <r>
      <t>&lt;</t>
    </r>
    <r>
      <rPr>
        <sz val="13"/>
        <color theme="1"/>
        <rFont val="Times New Roman"/>
        <family val="1"/>
      </rPr>
      <t xml:space="preserve"> 0,35 dB/km</t>
    </r>
  </si>
  <si>
    <r>
      <t>&lt;</t>
    </r>
    <r>
      <rPr>
        <sz val="13"/>
        <color theme="1"/>
        <rFont val="Times New Roman"/>
        <family val="1"/>
      </rPr>
      <t xml:space="preserve"> 3,5 ps/nm.km</t>
    </r>
  </si>
  <si>
    <r>
      <t>&lt;</t>
    </r>
    <r>
      <rPr>
        <sz val="13"/>
        <color theme="1"/>
        <rFont val="Times New Roman"/>
        <family val="1"/>
      </rPr>
      <t xml:space="preserve"> 18 ps/nm.km</t>
    </r>
  </si>
  <si>
    <r>
      <t>l</t>
    </r>
    <r>
      <rPr>
        <vertAlign val="subscript"/>
        <sz val="13"/>
        <color theme="1"/>
        <rFont val="Times New Roman"/>
        <family val="1"/>
      </rPr>
      <t>cc</t>
    </r>
    <r>
      <rPr>
        <sz val="13"/>
        <color theme="1"/>
        <rFont val="Times New Roman"/>
        <family val="1"/>
      </rPr>
      <t xml:space="preserve"> </t>
    </r>
    <r>
      <rPr>
        <sz val="13"/>
        <color theme="1"/>
        <rFont val="Symbol"/>
        <family val="1"/>
        <charset val="2"/>
      </rPr>
      <t>£</t>
    </r>
    <r>
      <rPr>
        <sz val="13"/>
        <color theme="1"/>
        <rFont val="Times New Roman"/>
        <family val="1"/>
      </rPr>
      <t xml:space="preserve"> 1260nm</t>
    </r>
  </si>
  <si>
    <r>
      <t>£</t>
    </r>
    <r>
      <rPr>
        <sz val="13"/>
        <color theme="1"/>
        <rFont val="Times New Roman"/>
        <family val="1"/>
      </rPr>
      <t xml:space="preserve"> 1% sức căng</t>
    </r>
  </si>
  <si>
    <r>
      <t>³</t>
    </r>
    <r>
      <rPr>
        <sz val="13"/>
        <color theme="1"/>
        <rFont val="Times New Roman"/>
        <family val="1"/>
      </rPr>
      <t xml:space="preserve"> 3 kN</t>
    </r>
  </si>
  <si>
    <r>
      <t xml:space="preserve">(-10 </t>
    </r>
    <r>
      <rPr>
        <sz val="13"/>
        <color theme="1"/>
        <rFont val="Symbol"/>
        <family val="1"/>
        <charset val="2"/>
      </rPr>
      <t>¸</t>
    </r>
    <r>
      <rPr>
        <sz val="13"/>
        <color theme="1"/>
        <rFont val="Times New Roman"/>
        <family val="1"/>
      </rPr>
      <t xml:space="preserve"> +80) </t>
    </r>
    <r>
      <rPr>
        <vertAlign val="superscript"/>
        <sz val="13"/>
        <color theme="1"/>
        <rFont val="Times New Roman"/>
        <family val="1"/>
      </rPr>
      <t>0</t>
    </r>
    <r>
      <rPr>
        <sz val="13"/>
        <color theme="1"/>
        <rFont val="Times New Roman"/>
        <family val="1"/>
      </rPr>
      <t>C</t>
    </r>
  </si>
  <si>
    <r>
      <t xml:space="preserve">(0 </t>
    </r>
    <r>
      <rPr>
        <sz val="13"/>
        <color theme="1"/>
        <rFont val="Symbol"/>
        <family val="1"/>
        <charset val="2"/>
      </rPr>
      <t>¸</t>
    </r>
    <r>
      <rPr>
        <sz val="13"/>
        <color theme="1"/>
        <rFont val="Times New Roman"/>
        <family val="1"/>
      </rPr>
      <t xml:space="preserve"> 100) %</t>
    </r>
  </si>
  <si>
    <t>Dây nhảy quang</t>
  </si>
  <si>
    <t>Đấu nối</t>
  </si>
  <si>
    <t>SC/APC (phù hợp với thiết bị)</t>
  </si>
  <si>
    <t>Sợi quang</t>
  </si>
  <si>
    <t>Tổn hao do nối ngoài</t>
  </si>
  <si>
    <t>≤ 0,2 dB</t>
  </si>
  <si>
    <t>Chiều dài tổng</t>
  </si>
  <si>
    <t>≥ 20 m (đấu nối thiết bị truyền dẫn quang)</t>
  </si>
  <si>
    <t>1.1</t>
  </si>
  <si>
    <t>1.2</t>
  </si>
  <si>
    <t>1.3</t>
  </si>
  <si>
    <t>1.4</t>
  </si>
  <si>
    <t>2.1</t>
  </si>
  <si>
    <t>2.2</t>
  </si>
  <si>
    <t>2.3</t>
  </si>
  <si>
    <t>2.4</t>
  </si>
  <si>
    <t>2.5</t>
  </si>
  <si>
    <t>2.6</t>
  </si>
  <si>
    <t>2.7</t>
  </si>
  <si>
    <t>2.8</t>
  </si>
  <si>
    <t>2.9</t>
  </si>
  <si>
    <t>2.10</t>
  </si>
  <si>
    <t>2.11</t>
  </si>
  <si>
    <t>2.12</t>
  </si>
  <si>
    <t>2.13</t>
  </si>
  <si>
    <t>3.3</t>
  </si>
  <si>
    <t>3.4</t>
  </si>
  <si>
    <t>3.5</t>
  </si>
  <si>
    <t>3.6</t>
  </si>
  <si>
    <t>3.7</t>
  </si>
  <si>
    <t>3.8</t>
  </si>
  <si>
    <t>3.9</t>
  </si>
  <si>
    <t>3.10</t>
  </si>
  <si>
    <t>4.1</t>
  </si>
  <si>
    <t>4.2</t>
  </si>
  <si>
    <t>4.3</t>
  </si>
  <si>
    <t>4.4</t>
  </si>
  <si>
    <t>4.5</t>
  </si>
  <si>
    <t>Yêu cầu kỹ thuật</t>
  </si>
  <si>
    <t>Tần số</t>
  </si>
  <si>
    <t>II</t>
  </si>
  <si>
    <t>Bao gồm</t>
  </si>
  <si>
    <t>- Gói thầu: Gói 09-KS: Cung cấp, xây dựng và lắp đặt VTTB công trình Trạm 110kV Kế Sách và đường dây 110kV Phụng Hiệp-Kế Sách
- Dự án: Trạm 110kV Kế Sách và đường dây 110kV Phụng Hiệp-Kế Sách</t>
  </si>
  <si>
    <t>Loại thiết bị</t>
  </si>
  <si>
    <t>TỦ THIẾT BỊ THÔNG TIN</t>
  </si>
  <si>
    <t>Nếu có</t>
  </si>
  <si>
    <t>- Nhà sản xuất/Nước sản xuất</t>
  </si>
  <si>
    <t>- Mã hiệu</t>
  </si>
  <si>
    <t>- Tiêu chuẩn</t>
  </si>
  <si>
    <t>Rack 19 inch</t>
  </si>
  <si>
    <t>- Cấp bảo vệ (tối thiểu)</t>
  </si>
  <si>
    <t>IP.20</t>
  </si>
  <si>
    <t>- Lắp ráp hòan chỉnh</t>
  </si>
  <si>
    <t>- Điêu kiện môi trường</t>
  </si>
  <si>
    <t>TCN:68-149 hoặc tương đương</t>
  </si>
  <si>
    <t>- Phụ kiện lắp đặt</t>
  </si>
  <si>
    <t>Switch distribute (layer 3)</t>
  </si>
  <si>
    <t>Tiêu chuẩn</t>
  </si>
  <si>
    <t>Số cổng</t>
  </si>
  <si>
    <t>≥ 04 x port 1000/10000Base(SFP) (bao gồm SFP 1000/10000 Mbps tương thích với hệ thống hiện hữu theo thiết kế).</t>
  </si>
  <si>
    <t>Hỗ trợ cấu hình Web:</t>
  </si>
  <si>
    <t>Tính năng bảo mật</t>
  </si>
  <si>
    <t>Tương thích dạng Rack 19", DIN-rail</t>
  </si>
  <si>
    <t>Firewall</t>
  </si>
  <si>
    <t>Số lượng cổng</t>
  </si>
  <si>
    <t>Năng lực xử lý:</t>
  </si>
  <si>
    <t>Chức năng Firewall:</t>
  </si>
  <si>
    <t>Khả năng phát hiện nguy cơ:</t>
  </si>
  <si>
    <t>Khả năng Routing (định tuyến):</t>
  </si>
  <si>
    <t>Static, OSPF, RIP;</t>
  </si>
  <si>
    <t>Static NAT, Dynamic NAT;</t>
  </si>
  <si>
    <t>Policy based routing</t>
  </si>
  <si>
    <t>Đáp ứng sẵn sàng cao</t>
  </si>
  <si>
    <t>Khả năng kiểm soát ứng dụng</t>
  </si>
  <si>
    <t>Điện thoại IP</t>
  </si>
  <si>
    <t>Tương thích yêu cầu quản lý</t>
  </si>
  <si>
    <t>Môi trường làm việc</t>
  </si>
  <si>
    <t>Độ ẩm: Đến 95%, không đọng sương;</t>
  </si>
  <si>
    <t>Yêu cầu trong quá trình triển khai thiết lập các chính sách tối thiểu như sau</t>
  </si>
  <si>
    <t>Tuân thủ tiêu chuẩn</t>
  </si>
  <si>
    <t>ISA 99 hoặc IEC 62443 hoặc NERC CIP.</t>
  </si>
  <si>
    <t>MTBF tối thiểu 250,000 giờ</t>
  </si>
  <si>
    <t>Tương thích dạng rack mount 19”</t>
  </si>
  <si>
    <t>IP Phone</t>
  </si>
  <si>
    <t>(Trang bị theo nhu cầu thực thế)</t>
  </si>
  <si>
    <t>IP phone</t>
  </si>
  <si>
    <t>Điện thoại kết nối Ethernet.</t>
  </si>
  <si>
    <t>- Cửa trước, cửa trong, cửa sau, các mặt bên, khóa …</t>
  </si>
  <si>
    <t>- Bảng phân phối nguồn, cầu chì và &amp; ngăn, cáp …</t>
  </si>
  <si>
    <t>Kích thước (Cao x rộng x sâu) mm</t>
  </si>
  <si>
    <t>STP/RSTP và hỗ trợ recovery time ≤ 20ms</t>
  </si>
  <si>
    <t>≥ 20 x port 10/100/1000 Base- SFP (bao gồm module quang, đồng theo triển khai kết nối thực tế trạm mới/ hiện hữu, module đồng bộ hãng sản xuất Switch, tương thích với hệ thống hiện hữu).</t>
  </si>
  <si>
    <t>Trọn bộ phụ kiện, cáp kết nối, cáp nguồn đấu nối kèm theo đảm bảo tủ hoạt động an toàn, ổn định theo các chức năng yêu cầu</t>
  </si>
  <si>
    <t>Giao tiếp mạng LAN: tối thiểu 06 cổng Ethernet RJ-45 10/100Mbps auto sense</t>
  </si>
  <si>
    <t>Firewall throughtput, IDS …: theo tính toán thực tế;</t>
  </si>
  <si>
    <t>Maximum concurrent sestions: theo tính toán thực tế.</t>
  </si>
  <si>
    <t>Tường lửa kiểm soát đầy đủ trạng thái (Stateful Inspection Firewall)</t>
  </si>
  <si>
    <t>Phát hiện dựa trên phân tích hành vi (behavior);</t>
  </si>
  <si>
    <t>Phát hiện dựa trên tính hợp lệ của giao thức (protocol);</t>
  </si>
  <si>
    <t>Phát hiện dựa trên mẫu tấn công khai thác điểm yếu (rule/signature).</t>
  </si>
  <si>
    <t>Cho phép 2 firewall cùng hãng có thể hoạt động ở chế độ active/standby (cluster)</t>
  </si>
  <si>
    <t>IEC-60870-5-104, IEC 60870-6 (ICCP), OPC DA &amp; UA, IEC 61850, Modbus;</t>
  </si>
  <si>
    <t>Có khả năng hỗ trợ kiểm soát các lệnh điều khiển/giám sát ở mức chi tiết trong lĩnh vực SCADA</t>
  </si>
  <si>
    <t>Có khả năng đẩy sự kiện an ninh và log về hệ thống quản lý thông tin an ninh và sự kiện qua giao thức syslog (SIEM);</t>
  </si>
  <si>
    <t>Có khả năng lưu logs cục bộ trong ổ cứng hoặc thẻ nhớ;</t>
  </si>
  <si>
    <t>Có khả năng đẩy SNMP counter, Netflow về hệ thống giám sát hiệu năng và chuẩn đoán mạng (NPMD)</t>
  </si>
  <si>
    <t>Tiêu chuẩn trạm biến áp: IEC 61000-6-5 hoặc IEC 61850-3 hoặc IEEE 1613 hoặc IEC 61000-6-2; Trường hợp chỉ đáp ứng IEC 61000-6-2 thì cần có phương án che chắn, cách ly các nguồn nhiễu điện từ;</t>
  </si>
  <si>
    <t>Nguồn điện: AC, DC phù hợp vị trí lắp đặt</t>
  </si>
  <si>
    <t>Rule 1: Cho phép kết nối 104 từ IP cho trước của trung tâm điều khiển/điều độ đi qua firewall đến SCADA Gateway; Bật tính năng IPS, App Control, Logs… với mọi traffic đi qua SCADA firewall;</t>
  </si>
  <si>
    <t>Rule 2: Cho phép kết nối VoIP hotline giữa các hotline và tổng đài của trung tâm điều khiển/điều độ; bật tính năng IPS, App Control, Logs… với mọi traffic đi qua firewall;</t>
  </si>
  <si>
    <t>Rule 3: Cho phép các dữ liệu quản trị/giám sát: đẩy logs, read-only snmp counter, netflow đến IP của hệ thống SIEM, NPMD trong mạng điều khiển của EVNNPT; Bật tính năng IPS, App Control, Logs… với mọi traffic đi qua firewall;</t>
  </si>
  <si>
    <t>(Các rule khác theo yêu cầu thực tế tại nơi lắp đặt);</t>
  </si>
  <si>
    <t>Rule cuối cùng: Chặn tất cả các traffic không đươc phép còn lại và logs các gói tin và sự kiện bất thường</t>
  </si>
  <si>
    <t>Hỗ trợ 2 card nguồn: 220VAC hoặc 110/220 VDC ± 20% (dự phòng 1+1)</t>
  </si>
  <si>
    <t>Bao gồm đầy đủ phụ kiện lắp đặt đi kèm, phần mềm cấu hình (có bản quyền) để đấu nối hoàn chỉnh</t>
  </si>
  <si>
    <t>Điện thoại kết nối Ethernet 10/100 Base- T thông qua 2 cổng RJ-45 (PoE), một cho kết nối LAN và một cho kết nối thiết bị Ethernet như một máy tính.</t>
  </si>
  <si>
    <t>-   Đáp ứng Layer 3.</t>
  </si>
  <si>
    <t>-   Đáp ứng theo tiêu chuẩn IEEE 1613, IEC 61850-3, làm việc được trong môi trường TBA 110kV hoặc làm việc được trong môi trường có nguồn năng lượng phát xạ điện từ.</t>
  </si>
  <si>
    <t>-   Có chứng nhận KEMA hoặc của tổ chức quốc tế test theo tiêu chuẩn IEEE 1613 và IEC 61850.</t>
  </si>
  <si>
    <t>-   Số lượng cổng cấp nguồn: 02 nguồn hoạt động dự phòng 1:1</t>
  </si>
  <si>
    <t>-   Mức điện áp: 110VDC hoặc 220VDC ±20% (phù hợp với nguồn tự dùng một chiều tại trạm)</t>
  </si>
  <si>
    <t>-   IP source guard, DHCP snooping, ARP spoofing (hoặc ARP inspection)</t>
  </si>
  <si>
    <t>-   802.1x, RADIUS, TACACS+, Access Control List, Storm Control (hoặc Storm protection)</t>
  </si>
  <si>
    <r>
      <t>Nhiệt độ: 0</t>
    </r>
    <r>
      <rPr>
        <vertAlign val="superscript"/>
        <sz val="13"/>
        <color theme="1"/>
        <rFont val="Times New Roman"/>
        <family val="1"/>
      </rPr>
      <t>0</t>
    </r>
    <r>
      <rPr>
        <sz val="13"/>
        <color theme="1"/>
        <rFont val="Times New Roman"/>
        <family val="1"/>
      </rPr>
      <t xml:space="preserve">C </t>
    </r>
    <r>
      <rPr>
        <sz val="13"/>
        <color theme="1"/>
        <rFont val="Symbol"/>
        <family val="1"/>
        <charset val="2"/>
      </rPr>
      <t>¸</t>
    </r>
    <r>
      <rPr>
        <sz val="13"/>
        <color theme="1"/>
        <rFont val="Times New Roman"/>
        <family val="1"/>
      </rPr>
      <t xml:space="preserve"> +55</t>
    </r>
    <r>
      <rPr>
        <vertAlign val="superscript"/>
        <sz val="13"/>
        <color theme="1"/>
        <rFont val="Times New Roman"/>
        <family val="1"/>
      </rPr>
      <t>0</t>
    </r>
    <r>
      <rPr>
        <sz val="13"/>
        <color theme="1"/>
        <rFont val="Times New Roman"/>
        <family val="1"/>
      </rPr>
      <t>C (IEC 60068-2-1 và 60068-2-2);</t>
    </r>
  </si>
  <si>
    <t>CÁC THIẾT BỊ LẮP TRONG TỦ</t>
  </si>
  <si>
    <t>HỆ THỐNG SCADA TBA110kV</t>
  </si>
  <si>
    <t>Hệ thống SCADA</t>
  </si>
  <si>
    <t>Nhà cung cấp (tích hợp)</t>
  </si>
  <si>
    <t>Gateway/RTU</t>
  </si>
  <si>
    <t>Phần mềm SCADA</t>
  </si>
  <si>
    <t>Đặc tính kỹ thuật chung của hệ thống SCADA trạm</t>
  </si>
  <si>
    <t>Đáp ứng yêu cầu kỹ thuật chi tiết tại Phần B</t>
  </si>
  <si>
    <t>Tủ thiết bị SCADA</t>
  </si>
  <si>
    <t>Tủ Gateway/RTU</t>
  </si>
  <si>
    <t>Độ ẩm tương đối lớn nhất</t>
  </si>
  <si>
    <t>Điều kiện khí hậu</t>
  </si>
  <si>
    <t>Nhiệt đới</t>
  </si>
  <si>
    <t>có</t>
  </si>
  <si>
    <t>Các thiết bị trong tủ</t>
  </si>
  <si>
    <t>RTU</t>
  </si>
  <si>
    <t>Nguồn: 110VDC ±20%</t>
  </si>
  <si>
    <t>CPU: tối thiểu 32 bit, tốc độ cao</t>
  </si>
  <si>
    <t>2 cổng kết nối độc lập về vật lý</t>
  </si>
  <si>
    <t>Bộ nhớ trung gian</t>
  </si>
  <si>
    <t>Bộ nhớ cơ sở dữ liệu</t>
  </si>
  <si>
    <t>10ms</t>
  </si>
  <si>
    <t>2s</t>
  </si>
  <si>
    <t>* Các chức năng:</t>
  </si>
  <si>
    <t>Đồng bộ thời gian</t>
  </si>
  <si>
    <t>Hỗ trợ tính năng bảo trì từ xa: giám</t>
  </si>
  <si>
    <t>sát, chuẩn đoán sự cố, nạp CSDL…</t>
  </si>
  <si>
    <t>Lưu trữ thông tin sự cố, các giá trị tính toán và đo lường.</t>
  </si>
  <si>
    <t>Khả năng truy xuất dữ liệu bằng công cụ MS-Excel.</t>
  </si>
  <si>
    <t>* Cổng giao tiếp và giao thức:</t>
  </si>
  <si>
    <t>Cổng giao tiếp Modbus TCP/IP</t>
  </si>
  <si>
    <t>Phần mềm Gateway và HMI</t>
  </si>
  <si>
    <t>Nhà sản xuất phần mềm SCADA/HMI</t>
  </si>
  <si>
    <t>phải có chứng chỉ ISO 9001: 2015 hoặc mới nhất với phạm vi đăng ký về thiết kế và sản xuất phần mềm SCADA ứng dụng trong lĩnh vực điện và công nghiệp.</t>
  </si>
  <si>
    <t>Tổng số lượng tín hiệu :</t>
  </si>
  <si>
    <t>≥ 3000 điểm dữ liệu</t>
  </si>
  <si>
    <t>Hệ thống phần mềm SCADA hỗ trợ không giới hạn:</t>
  </si>
  <si>
    <t>+ Số lượng RTU/IED kết nối vào phần mềm</t>
  </si>
  <si>
    <t>Phần mềm SCADA phải tương thích với các hệ điều hành:</t>
  </si>
  <si>
    <t>IEC 61850, Modbus, IEC 60870-5-104</t>
  </si>
  <si>
    <t>IEC60870-5-104 server</t>
  </si>
  <si>
    <t>Yêu cầu chức năng của hệ thống:</t>
  </si>
  <si>
    <t>Thu Thập dữ liệu:</t>
  </si>
  <si>
    <t>Xử lý dữ liệu:</t>
  </si>
  <si>
    <t>Yêu cầu về màn hình giao diện:</t>
  </si>
  <si>
    <t>7.16</t>
  </si>
  <si>
    <t>Màn hình cảnh báo:</t>
  </si>
  <si>
    <t>Nhận diện được ngay cảnh báo mới</t>
  </si>
  <si>
    <t>Màn hình sự kiện:</t>
  </si>
  <si>
    <t>Trình biên tập cơ sở dữ liệu phải có các đặc điểm như sau:</t>
  </si>
  <si>
    <t>- Giao diện quản lý thiết bị:</t>
  </si>
  <si>
    <t>2.3.1</t>
  </si>
  <si>
    <t>Yêu cầu chung</t>
  </si>
  <si>
    <t>- Giao thức Ring</t>
  </si>
  <si>
    <t>- Cam kết không chứa mã độc từ nhà sản xuất.</t>
  </si>
  <si>
    <t>2.3.2</t>
  </si>
  <si>
    <t>Switch Access</t>
  </si>
  <si>
    <t>- ≥ 08 port 10/100Base- Fx(SFP)</t>
  </si>
  <si>
    <t>Số cổng tối thiểu:</t>
  </si>
  <si>
    <t>HỆ THỐNG MÁY TÍNH HMI</t>
  </si>
  <si>
    <t>2.4.1</t>
  </si>
  <si>
    <t>Máy tính HMI (Desktop)</t>
  </si>
  <si>
    <t>Loại:</t>
  </si>
  <si>
    <t>Máy tính để bàn Desktop</t>
  </si>
  <si>
    <t>Cấu hình:</t>
  </si>
  <si>
    <t>- Mainboard:</t>
  </si>
  <si>
    <t>- Bộ xử lý:</t>
  </si>
  <si>
    <t>- Số lượng bộ xử lý:</t>
  </si>
  <si>
    <t>01</t>
  </si>
  <si>
    <t>- Bộ nhớ</t>
  </si>
  <si>
    <t>- Khe mở rộng</t>
  </si>
  <si>
    <t>- Khay ổ cứng</t>
  </si>
  <si>
    <t>- Dung lượng ổ cứng</t>
  </si>
  <si>
    <t>SDD storage: tối thiểu 250Gb</t>
  </si>
  <si>
    <t>- Đầu đọc</t>
  </si>
  <si>
    <t>- Giao diện mạng</t>
  </si>
  <si>
    <t>Dual Gigabit Ethernet</t>
  </si>
  <si>
    <t>- Bộ xử lý đồ họa</t>
  </si>
  <si>
    <t>- Cổng USB</t>
  </si>
  <si>
    <t>4x USB port</t>
  </si>
  <si>
    <t>- Thiết bị ngoại vi</t>
  </si>
  <si>
    <t>- Nguồn cung cấp</t>
  </si>
  <si>
    <t>Ngõ vào: 180-240 VAC</t>
  </si>
  <si>
    <t>Theo mục yêu cầu kỹ thuật thiết bị</t>
  </si>
  <si>
    <t>2.4.2</t>
  </si>
  <si>
    <t>Màn hình LCD</t>
  </si>
  <si>
    <t>- Cỡ màn hình</t>
  </si>
  <si>
    <t>- Kỹ thuật màn hình</t>
  </si>
  <si>
    <t>LCD hoặc cao hơn</t>
  </si>
  <si>
    <t>- Độ phân giải</t>
  </si>
  <si>
    <t>1920 x 1080</t>
  </si>
  <si>
    <t>- Thời gian xử lý:</t>
  </si>
  <si>
    <t>- Độ tương phản</t>
  </si>
  <si>
    <t>&gt; 1000:1</t>
  </si>
  <si>
    <t>- Đấu nối</t>
  </si>
  <si>
    <t>Tối thiểu 01 cổng D-sub/HDMI</t>
  </si>
  <si>
    <t>- Chức năng ngoài</t>
  </si>
  <si>
    <t>Điều khiển số</t>
  </si>
  <si>
    <t>180-240VAC</t>
  </si>
  <si>
    <t>MÁY TÍNH Gateway</t>
  </si>
  <si>
    <t>Kiểu :</t>
  </si>
  <si>
    <t>Máy tính công nghiệp fanless</t>
  </si>
  <si>
    <t>Lắp đặt :</t>
  </si>
  <si>
    <t>Dạng Rack</t>
  </si>
  <si>
    <t>Bộ vixử lý:</t>
  </si>
  <si>
    <t>Tối thiểu Intel Haswell Core</t>
  </si>
  <si>
    <t>Bộ nhớ RAM:</t>
  </si>
  <si>
    <t>Dung lượng ổ cứng</t>
  </si>
  <si>
    <t>Các cổng kết nối:</t>
  </si>
  <si>
    <t>Cổng USB</t>
  </si>
  <si>
    <t>Cổng Serial</t>
  </si>
  <si>
    <t>Khe cắm PCI mở rộng/Expansion slot</t>
  </si>
  <si>
    <t>≥ 2 vùng cắm I/O Expansion</t>
  </si>
  <si>
    <t>Cổng màn hình</t>
  </si>
  <si>
    <t>2 cổng ra màn hình</t>
  </si>
  <si>
    <t>-Thiết bị ngoại vi</t>
  </si>
  <si>
    <t>- Nguồn cung cấp/Power supply</t>
  </si>
  <si>
    <t>- Hệ điều hành Windows có bản quyền</t>
  </si>
  <si>
    <t>-Phần mềm</t>
  </si>
  <si>
    <t>- Yêu cầu khác:</t>
  </si>
  <si>
    <t>+ Chức năng tự giám sát, cảnh báo lỗi và khởi động lại hệ thống</t>
  </si>
  <si>
    <t>+ Có phần mềm và thiết bị đi kèm hỗ trợ giám sát hoạt động của máy tính từ xa, hỗ trợ backup, recovery, tại chỗ và từ xa</t>
  </si>
  <si>
    <t>+ Cam kết không chứa mã độc từ nhà sản xuất và có phần mềm diệt virus</t>
  </si>
  <si>
    <t>- Điều kiện môi trường:</t>
  </si>
  <si>
    <t>+Nhiệt độ : 0°C đến 55°C</t>
  </si>
  <si>
    <t>+Độ ẩm : 25% đến 95%</t>
  </si>
  <si>
    <t>- Đầu vào</t>
  </si>
  <si>
    <t>220VAC và 110VDC</t>
  </si>
  <si>
    <t>- Đầu ra</t>
  </si>
  <si>
    <t>Công suất</t>
  </si>
  <si>
    <t>2000VA</t>
  </si>
  <si>
    <t>Số pha</t>
  </si>
  <si>
    <t>1 pha (3 dây)</t>
  </si>
  <si>
    <t>Dạng sóng điện áp</t>
  </si>
  <si>
    <t>Hiệu suất</t>
  </si>
  <si>
    <t>- Điều kiện vận hành</t>
  </si>
  <si>
    <t>Nhiệt độ trung bình</t>
  </si>
  <si>
    <t>Độ ẩm</t>
  </si>
  <si>
    <t>20-90%</t>
  </si>
  <si>
    <t>Điện từ trường</t>
  </si>
  <si>
    <t>Thiết bị đồng bộ thời gian GPS clock</t>
  </si>
  <si>
    <t>- Thiết bị chuyển tiếp GPS</t>
  </si>
  <si>
    <t>- Ănten</t>
  </si>
  <si>
    <t>- Giao tiếp</t>
  </si>
  <si>
    <t>SNTP interface</t>
  </si>
  <si>
    <t>-Độ chính xác</t>
  </si>
  <si>
    <t>≤ 100ns</t>
  </si>
  <si>
    <t>-Độ nhạy</t>
  </si>
  <si>
    <t>-Cổng kết nối</t>
  </si>
  <si>
    <t>- Trọn bộ và phụ kiện lắp đặt</t>
  </si>
  <si>
    <t>- Cấp nguồn:</t>
  </si>
  <si>
    <t>110VDC ±20%</t>
  </si>
  <si>
    <t>Thiết bị SCADA Firewall</t>
  </si>
  <si>
    <t>- Nhà sản xuất / Nước xuất xứ</t>
  </si>
  <si>
    <t>* Yêu cầu chung:</t>
  </si>
  <si>
    <t>-Số lượng cổng</t>
  </si>
  <si>
    <t>Giao tiếp mạng LAN: tối thiểu 6 cổng Ethernet RJ-45 10/100Mbps auto sense</t>
  </si>
  <si>
    <t>-Năng lực xử lý:</t>
  </si>
  <si>
    <t>-Chức năng Firewall:</t>
  </si>
  <si>
    <t>-Khả năng phát hiện nguy cơ:</t>
  </si>
  <si>
    <t>-Khả năng Routing (định tuyến):</t>
  </si>
  <si>
    <t>-Đáp ứng sẵn sàng cao</t>
  </si>
  <si>
    <t>-Cho phép 2 firewall cùng hãng có thể hoạt động ở chế độ active/standby (cluster)</t>
  </si>
  <si>
    <t>-Khả năng kiểm soát ứng dụng</t>
  </si>
  <si>
    <t>Điện thoại IP;</t>
  </si>
  <si>
    <t>-Tương thích yêu cầu quản lý</t>
  </si>
  <si>
    <t>-Môi trường làm việc</t>
  </si>
  <si>
    <t>Độ ẩm: 5 to 95%, không đọng sương;</t>
  </si>
  <si>
    <t>-Yêu cầu trong quá trình triển khai thiết lập các chính sách tối thiểu như sau</t>
  </si>
  <si>
    <t>-Tuân thủ tiêu chuẩn</t>
  </si>
  <si>
    <t>-MTBF tối thiểu 250,000 giờ</t>
  </si>
  <si>
    <t>-Kích thước:</t>
  </si>
  <si>
    <t>-Nguồn cung cấp:</t>
  </si>
  <si>
    <t>Hỗ trợ 2 card nguồn: 220VAC hoặc 110VDC ± 20% (dự phòng 1+1)</t>
  </si>
  <si>
    <t>- Bao gồm đầy đủ phụ kiện lắp đặt đi kèm, phần mềm cấu hình (có bản quyền) để đấu nối hoàn chỉnh</t>
  </si>
  <si>
    <t>6 ~ 25A</t>
  </si>
  <si>
    <t>10kA</t>
  </si>
  <si>
    <t>Rơle trung gian</t>
  </si>
  <si>
    <t>EU hoặc tương đương</t>
  </si>
  <si>
    <t>Đào tạo chuyển giao công nghệ</t>
  </si>
  <si>
    <t>Nhà thầu phải tổ chức đào tạo cho người sử dụng và chuyên viên Ban Kỹ thuật để đảm bảo làm chủ hệ thống, tự vận hành, tự thực hiện công tác bảo dưỡng, sửa chữa, nâng cấp, mở rộng hệ thống.</t>
  </si>
  <si>
    <t>- Đầy đủ tài liệu thiết kế</t>
  </si>
  <si>
    <t>(Mã hiệu/nhà sản xuất)
Nêu cụ thể</t>
  </si>
  <si>
    <t>(Phiên bản/nhà sản xuất)
Nêu cụ thể</t>
  </si>
  <si>
    <t>Nhiệt độ môi trường xung quanh lớn nhất</t>
  </si>
  <si>
    <t>Sơ đồ tổng quát, lắp đặt tủ của nhà sản xuất</t>
  </si>
  <si>
    <t>2 card làm việc ở chế độ dự phòng nóng 1:1 (redundancy)</t>
  </si>
  <si>
    <t>04 CPU làm việc ở chế độ dự phòng nóng(redundancy) 1:1 Có thể mở rộng lên 06 CPU</t>
  </si>
  <si>
    <t>Kết nối về mạng IP Network nội tỉnh hoặc TTĐK thực hiện điều khiển xa</t>
  </si>
  <si>
    <t>Kết nối với 2 Ethernet Swich khác nhau của hệ thống mạng IEC61850</t>
  </si>
  <si>
    <t>Lưu trữ thông tin thay đổi trạng thái ít nhất 10 ngày trong trường hợp mất kết nối trung tâm điều khiển.</t>
  </si>
  <si>
    <t>Duy trì ít nhất 30 ngày trong trường hợp không được cung cấp điện</t>
  </si>
  <si>
    <t>Thời gian đáp ứng tối thiểu đối với tín hiệu số</t>
  </si>
  <si>
    <t>Thời gian đáp ứng tối thiểu đối với tín hiệu đo lường</t>
  </si>
  <si>
    <t>Có khả năng download và upload file cấu hình từ xa, Download file cấu hình hiện hữu</t>
  </si>
  <si>
    <t>Có chứng nhận KEMA test/tương đương theo tiêu chuẩn IEEE1613 và IEC61850</t>
  </si>
  <si>
    <t>Hỗ trợ các giao thức: IEC61850 phiên bản 2 hoặc mới hơn và tương thích với hệ thống của trạm,  IEC 60870-5-104, Modbus RTU/Modbus TCP</t>
  </si>
  <si>
    <t>Hỗ trợ đồng bộ SNTP cho đồng hồ GPS</t>
  </si>
  <si>
    <t>Cấp chính xác: +/-10-6
(84,6ms/ngày)</t>
  </si>
  <si>
    <t>Tích hợp chức năng HMI với các lệnh điều khiển và giám sát cơ bản, cho phép thực hiện các thao tác đóng cắt thiết bị qua máy tính kết nối với RTU</t>
  </si>
  <si>
    <t>Tích hợp chức năng thử nghiệm và mô phỏng tín hiệu đo lường, các tín hiệu hiển thị, điều khiển, sự kiện qua giao diện web.</t>
  </si>
  <si>
    <t>Phần mềm cấu hình RTU kết nối các IEDs theo giao thức IEC61850, IEC 60870-5-104,  Modbus  RTU/Modbus TCP.</t>
  </si>
  <si>
    <t>Cổng giao tiếp với Switch distribute 10/100BaseTx (RJ45) để truyền về TTĐK theo giao thức IEC60870-5-104. Mỗi port có khả năng cấu hình độc lập các subnet mask</t>
  </si>
  <si>
    <t>Cổng giao tiếp với Switch Access của mạng IEC61850</t>
  </si>
  <si>
    <t>Cam kết không chứa mã độc từ nhà sản xuất</t>
  </si>
  <si>
    <t>Đáp ứng yêu cầu kỹ thuật chi tiết tại mục 3.3.3
(Yêu cầu kỹ thuật của hệ thống HMI)</t>
  </si>
  <si>
    <t>Sử dụng phần mềm của các hãng uy tín trên thế giới và đã được vận hành ổn định, tin cậy trên lưới điện Việt Nam như các hãng ABB, GE/General Electric, Siemens, Schneider, Survalent hoặc tương đương.</t>
  </si>
  <si>
    <t>Hệ thống phần mềm SCADA phải hỗ trợ chế độ chạy mô phỏng trước khi vận hành thực tế hệ thống</t>
  </si>
  <si>
    <t>Bản quyền phần mềm được qui định bởi khóa cứng Dongle key</t>
  </si>
  <si>
    <t>Tất cả license của hệ thống chỉ sử dụng duy nhất 01 Dongle key, không sử dụng nhiều Dongle key</t>
  </si>
  <si>
    <t>Công cụ chỉnh sửa database phải là bản quyền</t>
  </si>
  <si>
    <t>Các công cụ của phần mềm (module phần mềm) phải cùng 01 hãng sản xuất và trên cùng một nền tảng hệ thống (Platform)</t>
  </si>
  <si>
    <t>+ Đường truyền thông đến các IEDs (communication line)</t>
  </si>
  <si>
    <t>+ Số lượng user đăng nhập vào hệ thống với cấp độ phân quyền khác nhau</t>
  </si>
  <si>
    <t>Hệ điều hành Windows hoặc Linux mới nhất và còn thời gian hỗ trợ cập nhật it nhất 05 năm kể từ ngày ký hợp đồng và có bản quyền (license). Các hệ điều hành giả lập không được chấp nhận</t>
  </si>
  <si>
    <t>Hệ thống phần mềm SCADA hỗ trợ giao thức để thu thập dữ liệu phía thiết bị:</t>
  </si>
  <si>
    <t>Hệ thống phần mềm SCADA hỗ trợ giao thức để truyền dữ liệu từ trạm về trung tâm SCADA.</t>
  </si>
  <si>
    <t>Phần mềm điều khiển trạm được tổ chức phòng thí nghiệm độc lập có uy tín (KEMA hoặc tương đương) xác nhận cho tiêu chuẩn IEC 61850, IEC IEC60870-5-104. Phải có chứng chỉ NERC-CIP do hội đồng NERC-CIP của nhà sản xuất phần mềm SCADA cung cấp</t>
  </si>
  <si>
    <t>Hệ thống điều khiển tích hợp tuân thủ theo các tiêu chuẩn công nghiệp, là hệ thống mở. Đảm bảo tạo điều kiện cho phía người mua nâng cấp hoặc thay thế một phần mà không phụ thuộc vào một nhà cấp hàng nào đó.</t>
  </si>
  <si>
    <t>Phần mềm có chức năng lập trình tùy biến để thực hiện lập trình liên động mềm tùy theo mục đích người sử dụng.</t>
  </si>
  <si>
    <t>Phần mềm có chức năng thay đổi màu sắc tùy biến theo mục đích người sử dụng. Khả năng thể hiện các trạng thái mất điện, có điện của hệ thống trên màn hình giao diện HMI</t>
  </si>
  <si>
    <t>Phần mềm hỗ trợ trình tạo cơ sở dữ liệu theo mẫu (template), hỗ trợ cho công tác xây dựng cơ sở dữ liệu kết nối với thiết bị</t>
  </si>
  <si>
    <t>Phần mềm có chức năng đồng bộ hóa cơ sở dữ liệu từ hệ thống SCADA sang hệ thống cơ sở dữ liệu hãng thứ 3: SQL hay Oracle (Bản quyền về công cụ SQL hay Oracle khách hàng tự lựa chọn và cung cấp)</t>
  </si>
  <si>
    <t>Khả năng thu thập và hiển thị dữ liệu theo thời gian thực</t>
  </si>
  <si>
    <t>Phần mềm phải cung cấp các phương tiện thu thập dữ liệu lịch sử cho phép người dùng định nghĩa các điểm (point) sẽ được lấy mẫu (sample), tần suất lấy mẫu cũng như thời gian lưu lại mẫu.</t>
  </si>
  <si>
    <t>Phần mềm dữ liệu lịch sử (historical data software) phải có khả năng lấy mẫu trong khoảng thời gian là 01 giây.</t>
  </si>
  <si>
    <t>Phần mềm dữ liệu lịch sử (historical data software) phải cho phép người dùng lựa chọn kiểu dữ liệu được thu thập bao gồm: thời gian trung bình (time average), phép tổng (summation), cực đại (maximum), cực tiểu (minimum), thời gian cực tiểu và thời gian cực đại (times of maximums and minimums)</t>
  </si>
  <si>
    <t>Giám sát điều khiển: Hệ thống có khả năng điều khiển các thiết bị từ SCADA, sử dụng tính năng “Select Before Operate” (SBO)</t>
  </si>
  <si>
    <t>Hệ thống có khả năng kiểm tra giá trị analog ứng với ba bộ giới hạn: warning, emergency và reasonability. Ứng với mỗi bộ giới hạn sẽ gồm 03 giá trị “upper limit”, “lower limit” và “deadband”.</t>
  </si>
  <si>
    <t>Có khả năng loại bỏ tín hiệu nhiễu quanh giá trị 0 (noise readings around the zero mark), hệ thống phải cho phép cấu hình khoảng giá trị“zero clamp deadband” (theo đơn vị kỹ thuật) mà trong khoảng giá trị đó, tín hiệu được quy về giá trị 0. Ví dụ: ứng với giá trị“zero clamp deadband” là 3.0, bất kỳ tín hiệu đầu vào nào nằm trong khoảng từ+3.0 đến -3.0 (theo đơn vị kỹ thuật) sẽ được quy về giá trị 0.</t>
  </si>
  <si>
    <t>Khả năng chứng thực và kiểm soát đăng nhập hệ thống:</t>
  </si>
  <si>
    <t>Hệ thống có khả năng tạm ngưng kích hoạt một tài khoản người dùng mà không cần xóa nó</t>
  </si>
  <si>
    <t>Hệ thống có khả năng từ chối truy cập từ xa một tài khoản người dùng</t>
  </si>
  <si>
    <t>Mật khẩu tài khoản người dùng phải được mã hóa ít nhất 128-bit và không được lưu trữ hoặc truyền đi mật khẩu gốc (plaintext). Hệ thống cho phép lựa chọn độ dài mật khẩu lớn hơn 12 ký tự và cho phép sử dụng những mật khẩu phức tạp phối hợp bao gồm ký tự, số, chữ hoa – thường. Hệ thống cho phép thay đổi mật khẩu theo chu kỳ 1, 30, 90, 180, hoặc 365 ngày. Mật khẩu có thể được cấu hình để không giới hạn thời gian sử dụng.</t>
  </si>
  <si>
    <t>Hệ thống cho phép cài đặt số lần đăng nhập thất bại của một tài khoản, khóa tài khoản đó một thời gian nhất định nếu số lần đăng nhập thất bại vượt quá cho phép.</t>
  </si>
  <si>
    <t>Hệ thống cho phép cài đặt tính năng tự động đăng xuất tài khoản người dùng sau một thời gian người sử dụng không có bất kỳ thao tác gì.</t>
  </si>
  <si>
    <t>Khả năng phân quyền cho tài khoản đăng nhập hệ thống:</t>
  </si>
  <si>
    <t>Hệ thống có khả năng quản lý với số lượng không giới hạn tài khoản người dùng tương ứng với các cấp độ phân quyền khác nhau</t>
  </si>
  <si>
    <t>Mỗi tài khoản người dùng có thể được phân quyền để xác định những thao tác mà người dùng đó được phép thực hiện</t>
  </si>
  <si>
    <t>Phân quyền người sử dụng có khả năng: xác nhận, khóa, mở khóa, xác nhận cảnh báo; hiệu chỉnh cơ sở dữ liệu, bản đồ, báo cáo, giới hạn giá trị analog và ghi chú. Cài đặt giá trị bằng tay,điều khiển, gắn thẻ/ hủy gắn thẻ các biến</t>
  </si>
  <si>
    <t>Khả năng quản lý thẻ cảnh báo trong hệ thống:</t>
  </si>
  <si>
    <t>Hệ thống cho phép người vận hành ngăn chặn quyền điều khiển ứng của một số thiết bị bằng tính năng gắn thẻ cảnh báo thao tác (tagging feature).
Tính năng này cho phép người vận hành sử dụng đến 8 thẻ cảnh báo cho 1 điểm dữ liệu; mỗi thẻ cảnh báo có thể lưu trữ thông tin ngày/giờ và mô tả của người vận hành</t>
  </si>
  <si>
    <t>Hệ thống có khả năng chỉ ra thông tin của lần gắn thẻ trước đó (hành động, loại thẻ, số thẻ, mô tả).</t>
  </si>
  <si>
    <t>Hệ thống cung cấp khả năng cấu hình tùy biến tương ứng với 4 loại thẻ: 
“Cấm điều khiểu đóng và mở”, “Cấm đóng”, “Cấm mở”, “Thông tin” - Information only (no control inhibit)</t>
  </si>
  <si>
    <t>Giao diện vận hành hỗ trợ hiển thị bằng ngôn ngữ Tiếng Việt</t>
  </si>
  <si>
    <t>Phần mềm phải cung cấp được giao diện đồ họa với hệ trục tọa độ (single world coordinates) để người sử dụng có thể tự thiết kế, xây dựng và bố trí sơ đồ vận hành tùy ý.</t>
  </si>
  <si>
    <t>Giao diện đồ họa HMI cung cấp một thư viện có thể mở rộng theo nhu cầu người dùng với các thuộc tính sẵn có như biểu tượng, màu sắc, kiểu chữ</t>
  </si>
  <si>
    <t>Giao diện đồ họa HMI cho phép người sử dụng có thể tạo với số lượng không hạn chế các khung màn hình (view) trên giao diện vận hành. Các khung màn hình này có thể được truy cập thông qua một danh sách hoặc các nút nhấn trên giao diện vận hành.</t>
  </si>
  <si>
    <t>Trên giao diện vận hành thể hiện các giá trị đo lường, trạng thái của các thiết bị trong hệ thống Chức năng điều khiển phải hỗ trợ thao tác 02 bước cho 01 lệnh điều khiển. (Lệnh điều khiển + xác nhận)</t>
  </si>
  <si>
    <t>Giao diện có chức năng liên kết giữa các trang vận hành. Từ màn hình chính truy cập vào màn hình ngăn hoặc ngược lại.</t>
  </si>
  <si>
    <t>Giao diện có chức năng phóng to/ thu nhỏ (Zoom in/ Zoom out) đến bất kỳ các vị trí tọa độ nào trên màn hình</t>
  </si>
  <si>
    <t>Phần mềm xây dựng HMI phải hỗ trợ ở cả 02 chế độ riêng biệt “online” và “edit”</t>
  </si>
  <si>
    <t>Giao diện vận hành có thể hiện cấu trúc nhiều lớp hiển thị (multilayered structure). Phần mềm hỗ trợ không giới hạn số lớp hiển thị và các lớp này có khả năng tự động hiển thị ẩn/hiện tương ứng với một mức độ phóng to/thu nhỏ nhất định</t>
  </si>
  <si>
    <t>Phần mềm hỗ trợ xuất âm thanh cảnh báo dạng audio tùy theo mức độ tín hiệu cảnh báo. Phần mềm hỗ trợ ít nhất 5 mức độ cảnh báo khác nhau</t>
  </si>
  <si>
    <t>Phần mềm phải có khả năng lập thời gian biểu cũng như xác định vị trí xuất ra của các báo cáo. Phải có khả năng chuyển các báo cáo đó tới nhiều máy in, một hoặc nhiều trong số đó có thể là các đường dẫn trên ổ đĩa</t>
  </si>
  <si>
    <t>Phần mềm phải có khả năng tạo lập đồ thị vận hành theo thời gian thực và thời gian lịch sử</t>
  </si>
  <si>
    <t>Giao diện vận hành hỗ trợ chức năng tùy biến màu sắc theo trạng thái có điện, mất điện trong hệ thống. Hỗ trợ công cụ để người sử dụng tự chọn lựa màu sắc hiển thị theo yêu cầu của các chế độ vận hành</t>
  </si>
  <si>
    <t>Giao diện vận hành có chức năng đăng nhập/đăng xuất vào/ ra hệ thống</t>
  </si>
  <si>
    <t>Giao diện vận hành hỗ trợ chức năng tự động đăng xuất sau một thời gian tính từ lần thao tác cuối cùng của người vận hành trên màn hình HMI.
Thời gian này có thể thay đổi được</t>
  </si>
  <si>
    <t>Quá trình chỉnh sửa dữ liệu phải được thực hiện online, thay đổi giao diện HMI không phải thao tác tắt phần mềm</t>
  </si>
  <si>
    <t>Hiển thị toàn bộ cảnh báo và đồng bộ liên tục với thời gian thực của hệ thống</t>
  </si>
  <si>
    <t>Chức năng không xác nhận/ xác nhận/khóa cảnh báo</t>
  </si>
  <si>
    <t>Giao diện hỗ trợ nút liên kết với màn hình vận hành</t>
  </si>
  <si>
    <t>Hiển thị toàn bộ sự kiện và đồng bộ liên tục với thời gian thực của hệ thống.</t>
  </si>
  <si>
    <t>Hiển thị báo cáo theo mẫu: ngày, giờ, …, phục vụ cho công tác báo cáo.</t>
  </si>
  <si>
    <t>Có khả năng kết xuất sang định dạng file Excel</t>
  </si>
  <si>
    <t>Yêu cầu của trình công cụ xây dựng cơ sở dữ liệu:</t>
  </si>
  <si>
    <t>Trình biên tập cơ sở dữ liệu phải hỗ trợ cấu trúc dạng cây của toàn bộ cơ sở dữ liệu cũng như phải hỗ trợ việc truy xuất đến một mục cần chỉnh sửa trong cơ sở dữ liệu một cách dễ dàng. Các mục được chỉnh sửa trong cơ sở dữ liệu bằng cách này phải bao gồm các Trạm (Station), Đường truyền (Communication Line), Kênh giao tiếp (Communication Channel), RTU, IED, cũng như toàn bộ các điểm dữ liệu (giá trị analog, hiển thị trạng thái, ...)</t>
  </si>
  <si>
    <t>Trình biên tập cơ sở dữ liệu phải vận hành như một chương trình “khách” (“client” program), giao tiếp với một chương trình “chủ” (“server” program) chạy trên máy chủ (host computer) và trình biên tập cơ sở dữ liệu phải có khả năng chạy được trên bất kỳ một máy tính nào kết nối tới máy chủ (host server) qua mạng truyền thông (network). Với cấu trúc này, việc bảo trì cơ sở dữ liệu có thể được thực hiện trên bất kỳ máy tính nào trong mạng lưới mà không cần phải làm việc trực tiếp tại phòng điều khiển (control room)</t>
  </si>
  <si>
    <t>Mọi thay đổi và cập nhật của cơ sơ dữ liệu phải được hoàn thành và đồng bộ khi hệ thống đang vận hành thời gian thực. Hệ thống vận hành thời gian thực phải không bị gián đoạn hay bị làm nhiễu bởi việc chỉnh sửa cơ sở dữ liệu hay bảo trì trong bất cứ trường hợp nào</t>
  </si>
  <si>
    <t>Cam kết không chứa mã độc từ nhà sản xuất và có phần mềm diệt virus</t>
  </si>
  <si>
    <t>STP/RSTP và hỗ trợ recovery time &lt;20ms</t>
  </si>
  <si>
    <t>Trọn bộ phụ kiện, phần mềm cấu hình, cáp kết nối, cáp nguồn đầu nối kèm theo,..</t>
  </si>
  <si>
    <t>- 04 SFP 100/1000Mbps – duplex LC – 850/1310nm –multimode</t>
  </si>
  <si>
    <t>Tối thiểu Intel chipset G41 hoặc tương đương; Bus: 1333 MHz</t>
  </si>
  <si>
    <t>Tối thiểu Intel Core i5; CPUs: &gt; 2,8 GHz ; Bus: 1333 MHz; 3MB L2 Cache Memory hoặc cao hơn</t>
  </si>
  <si>
    <t>DDR-3: 2x4GB, bus: 1333MHz hoặc cao hơn, với 2 khe (02) DIM</t>
  </si>
  <si>
    <t>02 PCI và 02 PCI-Ex hoặc 04 cổng PCI-Ex</t>
  </si>
  <si>
    <t>Hỗ trợ nhiều khay (tối thiểu 02 khay)</t>
  </si>
  <si>
    <t>DVD-ROM/CD-DVD RW Combo</t>
  </si>
  <si>
    <t>On board hoặc external, tối thiểu (02) cổng giao diện: D- sub/HDMI, và có chức năng hiển thị trên 2 màn hình trong cùng thời điểm</t>
  </si>
  <si>
    <t>Standard keyboard, USB Optical Scroll Mouse</t>
  </si>
  <si>
    <t>DDR3L 1.25V non-ECC; Dung lượng &gt; 8 GB;</t>
  </si>
  <si>
    <t>SDD storage: tối thiểu 2x250GB; RAID 0,1</t>
  </si>
  <si>
    <t>Cổng giao tiếp với Switch distribute: 100BaseFx để truyền về TTĐK theo giao thức IEC60870-5-104. Mỗi port có khả năng cấu hình độc lập các subnet mask</t>
  </si>
  <si>
    <t>Cổng giao tiếp 100BaseFx với Switch Access của mạng IEC61850. Mỗi port có khả năng cấu hình độc lập các subnet mask</t>
  </si>
  <si>
    <t>Khả năng mở rộng cổng kết nối qua khe cắm PCI mở rộng</t>
  </si>
  <si>
    <t>2 nguồn dự phòng (1+1).
110VDC (± 20%)</t>
  </si>
  <si>
    <t>Hệ điều hành Windows hoặc Linux mới nhất và còn thời gian hỗ trợ cập nhật ít nhất 05 năm kể từ ngày ký hợp đồng và có bản quyền (license)</t>
  </si>
  <si>
    <t>Phầm mềm quản lý CSDL quá khứ, phần mềm engineering, phần mềm giám sát và điều khiển hệ thống, phần mềm diệt virut có bản quyền không giới hạn thời gian sử dụng</t>
  </si>
  <si>
    <t>+Đáp ứng theo tiêu chuẩn IEEE1613 hoặc IEC 61850-3, làm việc được trong môi trường TBA 110kV</t>
  </si>
  <si>
    <t>Dạng Sin tại tất cả các chế độ, không phụ thuộc vào dung lượng còn lại của ăc quy</t>
  </si>
  <si>
    <t>IEC 61000-4-2 Level 4 (ESD) hoặc tương đương</t>
  </si>
  <si>
    <t>Độ nhạy bám &lt;-161dBm
Độ nhạy ăng ten &lt;-148dBm</t>
  </si>
  <si>
    <t>IEC-60870-5-104, IEC 60870- 6 (ICCP), OPC DA &amp; UA, IEC 61850, Modbus;</t>
  </si>
  <si>
    <t>Dòng điện định mức (In) (cho tủ đấu dây)</t>
  </si>
  <si>
    <t>Tất cả các phụ kiện cần thiết đi kèm để lắp đặt hoàn chỉnh tủ (bulông, đai ốc, ...)</t>
  </si>
  <si>
    <t>- Các tài liệu, phần mềm theo danh sách liệt kê của nhà sản xuất kèm theo từng thiết bị</t>
  </si>
  <si>
    <t>- Chuyển giao phần mềm ứng dụng có bản quyền</t>
  </si>
  <si>
    <t>- Hướng dẫn các bước cấu hình, cài đặt hệ thống</t>
  </si>
  <si>
    <t>- Thủ tục kết nối các thiết bị các thiết bị trong trạm</t>
  </si>
  <si>
    <t>- Khả năng thay đổi chức năng logic, thêm, bớt, sửa đổi các phần tử trong hệ thống</t>
  </si>
  <si>
    <r>
      <t>40</t>
    </r>
    <r>
      <rPr>
        <vertAlign val="superscript"/>
        <sz val="13"/>
        <color theme="1"/>
        <rFont val="Times New Roman"/>
        <family val="1"/>
      </rPr>
      <t>0</t>
    </r>
    <r>
      <rPr>
        <sz val="13"/>
        <color theme="1"/>
        <rFont val="Times New Roman"/>
        <family val="1"/>
      </rPr>
      <t>C</t>
    </r>
  </si>
  <si>
    <r>
      <t>&gt;</t>
    </r>
    <r>
      <rPr>
        <sz val="13"/>
        <color theme="1"/>
        <rFont val="Times New Roman"/>
        <family val="1"/>
      </rPr>
      <t xml:space="preserve"> 1500</t>
    </r>
  </si>
  <si>
    <r>
      <t>&gt;</t>
    </r>
    <r>
      <rPr>
        <sz val="13"/>
        <color theme="1"/>
        <rFont val="Times New Roman"/>
        <family val="1"/>
      </rPr>
      <t xml:space="preserve"> 04 port</t>
    </r>
  </si>
  <si>
    <r>
      <t>&gt;</t>
    </r>
    <r>
      <rPr>
        <sz val="13"/>
        <color theme="1"/>
        <rFont val="Times New Roman"/>
        <family val="1"/>
      </rPr>
      <t xml:space="preserve"> 01 port</t>
    </r>
  </si>
  <si>
    <r>
      <t>&gt;</t>
    </r>
    <r>
      <rPr>
        <sz val="13"/>
        <color theme="1"/>
        <rFont val="Times New Roman"/>
        <family val="1"/>
      </rPr>
      <t xml:space="preserve"> 02 port</t>
    </r>
  </si>
  <si>
    <t>•  Sử dụng chức năng “Nhân bản” trạm để tạo lập 'một trạm hay thiết bị mới với tất cả các điểm dữ 'liệu tương tự như trạm hay thiết bị hiện hữu.</t>
  </si>
  <si>
    <t>•  Sao chép (Copy), cắt (Cut) và dán (Paste) trong môi trường Windows.</t>
  </si>
  <si>
    <t>•  Sử dụng chức năng sao chép theo mẫu (model) để tạo ra điểm dữ liệu và các thành phần khác của cơ sở dữ liệu dựa trên một nguyên bản đã có</t>
  </si>
  <si>
    <t>•  Chỉnh sửa cơ sở dữ liệu trên MS Excel và nhập vào cơ sở dữ liệu thời gian thực của hệ thống</t>
  </si>
  <si>
    <t>•  Xóa bỏ điểm dữ liệu hiện hữu trong phạm vi một trạm hoặc thiết bị</t>
  </si>
  <si>
    <t>•  Xóa bỏ hoàn toàn một trạm (Station) kể cả các điểm dữ liệu liên quan</t>
  </si>
  <si>
    <r>
      <t xml:space="preserve">- </t>
    </r>
    <r>
      <rPr>
        <sz val="13"/>
        <color theme="1"/>
        <rFont val="Times New Roman"/>
        <family val="1"/>
      </rPr>
      <t>Tiêu chuẩn:</t>
    </r>
  </si>
  <si>
    <r>
      <t>ü</t>
    </r>
    <r>
      <rPr>
        <sz val="13"/>
        <color theme="1"/>
        <rFont val="Times New Roman"/>
        <family val="1"/>
      </rPr>
      <t xml:space="preserve"> Đáp ứng chuẩn IEEE: 802.3z; 802.3ab; 802.3u; 802.1w; 802.1D, 802.1p, 802.1Q, 802.1 AB, 802.1s,802.3ad, 802.3x.</t>
    </r>
  </si>
  <si>
    <r>
      <t>ü</t>
    </r>
    <r>
      <rPr>
        <sz val="13"/>
        <color theme="1"/>
        <rFont val="Times New Roman"/>
        <family val="1"/>
      </rPr>
      <t xml:space="preserve"> Đáp  ứng  theo  tiêu  chuẩn IEEE1613, IEC 61850-3, làm việc được trong môi trường TBA 110kV hoặc làm việc được trong môi trường có nguồn năng lượng phát xạ điện từ.</t>
    </r>
  </si>
  <si>
    <r>
      <t>ü</t>
    </r>
    <r>
      <rPr>
        <sz val="13"/>
        <color theme="1"/>
        <rFont val="Times New Roman"/>
        <family val="1"/>
      </rPr>
      <t xml:space="preserve"> Có chứng nhận KEMA hoặc của tổ chức quốc tế test theo tiêu  chuẩn  IEEE1613  và IEC61850.</t>
    </r>
  </si>
  <si>
    <r>
      <t xml:space="preserve">- </t>
    </r>
    <r>
      <rPr>
        <sz val="13"/>
        <color theme="1"/>
        <rFont val="Times New Roman"/>
        <family val="1"/>
      </rPr>
      <t>Hỗ trợ cấu hình Web:</t>
    </r>
  </si>
  <si>
    <r>
      <t xml:space="preserve">- </t>
    </r>
    <r>
      <rPr>
        <sz val="13"/>
        <color theme="1"/>
        <rFont val="Times New Roman"/>
        <family val="1"/>
      </rPr>
      <t>Nhiệt độ làm việc:</t>
    </r>
  </si>
  <si>
    <r>
      <t xml:space="preserve">- </t>
    </r>
    <r>
      <rPr>
        <sz val="13"/>
        <color theme="1"/>
        <rFont val="Times New Roman"/>
        <family val="1"/>
      </rPr>
      <t>Nguồn cung cấp:
Cấp từ hệ thống nguồn điện tự dùng DC tại trạm</t>
    </r>
  </si>
  <si>
    <t>-  Số lượng cổng cấp nguồn: 2 nguồn hoạt động dự phòng 1:1
- Mức điện áp: 110VDC ±20%</t>
  </si>
  <si>
    <r>
      <t xml:space="preserve">- </t>
    </r>
    <r>
      <rPr>
        <sz val="13"/>
        <color theme="1"/>
        <rFont val="Times New Roman"/>
        <family val="1"/>
      </rPr>
      <t>Đối với swicth Access tại trạm hiện hữu</t>
    </r>
  </si>
  <si>
    <r>
      <t>ü</t>
    </r>
    <r>
      <rPr>
        <sz val="13"/>
        <color theme="1"/>
        <rFont val="Times New Roman"/>
        <family val="1"/>
      </rPr>
      <t xml:space="preserve"> Theo nhu cầu thực tế và có dự phòng tối thiểu 20% số cổng.</t>
    </r>
  </si>
  <si>
    <r>
      <t>ü</t>
    </r>
    <r>
      <rPr>
        <sz val="13"/>
        <color theme="1"/>
        <rFont val="Times New Roman"/>
        <family val="1"/>
      </rPr>
      <t xml:space="preserve"> Switch hỗ các cổng giao diện như sau : card giao diện có thể thay đổi quang /điện theo người dùng.</t>
    </r>
  </si>
  <si>
    <r>
      <t>ü</t>
    </r>
    <r>
      <rPr>
        <sz val="13"/>
        <color theme="1"/>
        <rFont val="Times New Roman"/>
        <family val="1"/>
      </rPr>
      <t xml:space="preserve"> Số cổng tối thiểu:</t>
    </r>
  </si>
  <si>
    <t>-     ≥ 16 port 10/100BaseT</t>
  </si>
  <si>
    <t>-    ≥ 04 Dual port 1000BaseT- BaseSx/Lx/Zx (SFP)</t>
  </si>
  <si>
    <r>
      <t xml:space="preserve">- </t>
    </r>
    <r>
      <rPr>
        <sz val="13"/>
        <color theme="1"/>
        <rFont val="Times New Roman"/>
        <family val="1"/>
      </rPr>
      <t>Đối với swicth Access tại trạm đầu tư mới:</t>
    </r>
  </si>
  <si>
    <r>
      <t>ü</t>
    </r>
    <r>
      <rPr>
        <sz val="13"/>
        <color theme="1"/>
        <rFont val="Times New Roman"/>
        <family val="1"/>
      </rPr>
      <t xml:space="preserve"> Theo nhu cầu thực tế và có dự phòng tối thiểu 20% số cổng</t>
    </r>
  </si>
  <si>
    <t>-     ≥ 06 port 10/100BaseT</t>
  </si>
  <si>
    <t>-     ≥ 16 x port /100BaseFx-Sx</t>
  </si>
  <si>
    <t>-    16 SFP 100Mbps – duplex LC – 850/1310nm –multimode</t>
  </si>
  <si>
    <t>-    04 SFP 1000Mbps – duplex LC – 850/1310nm –multimode</t>
  </si>
  <si>
    <t>-   Phần mềm hệ thống (OS)</t>
  </si>
  <si>
    <t>-   Cam kết không chứa mã độc từ nhà sản xuất và có phần mềm diệt virus</t>
  </si>
  <si>
    <r>
      <t xml:space="preserve">&gt; </t>
    </r>
    <r>
      <rPr>
        <sz val="13"/>
        <color theme="1"/>
        <rFont val="Times New Roman"/>
        <family val="1"/>
      </rPr>
      <t>21 inches</t>
    </r>
  </si>
  <si>
    <r>
      <t>&lt;</t>
    </r>
    <r>
      <rPr>
        <sz val="13"/>
        <color theme="1"/>
        <rFont val="Times New Roman"/>
        <family val="1"/>
      </rPr>
      <t xml:space="preserve"> 5ms</t>
    </r>
  </si>
  <si>
    <r>
      <t xml:space="preserve">i7; Dual-core hoặc cao hơn; tốc độ </t>
    </r>
    <r>
      <rPr>
        <u/>
        <sz val="13"/>
        <color theme="1"/>
        <rFont val="Times New Roman"/>
        <family val="1"/>
      </rPr>
      <t>&gt;</t>
    </r>
    <r>
      <rPr>
        <sz val="13"/>
        <color theme="1"/>
        <rFont val="Times New Roman"/>
        <family val="1"/>
      </rPr>
      <t xml:space="preserve"> 1.7 GHz</t>
    </r>
  </si>
  <si>
    <r>
      <t>&gt;</t>
    </r>
    <r>
      <rPr>
        <sz val="13"/>
        <color theme="1"/>
        <rFont val="Times New Roman"/>
        <family val="1"/>
      </rPr>
      <t xml:space="preserve"> 02 port quang</t>
    </r>
  </si>
  <si>
    <r>
      <t>&gt;</t>
    </r>
    <r>
      <rPr>
        <sz val="13"/>
        <color theme="1"/>
        <rFont val="Times New Roman"/>
        <family val="1"/>
      </rPr>
      <t xml:space="preserve"> 4x USB port, HUCI, Rev 2.0 compliant</t>
    </r>
  </si>
  <si>
    <r>
      <t>&gt;</t>
    </r>
    <r>
      <rPr>
        <sz val="13"/>
        <color theme="1"/>
        <rFont val="Times New Roman"/>
        <family val="1"/>
      </rPr>
      <t xml:space="preserve"> 2x RS-232/422/485</t>
    </r>
  </si>
  <si>
    <r>
      <t xml:space="preserve">+ Cam kết vòng đời sản phẩm : </t>
    </r>
    <r>
      <rPr>
        <u/>
        <sz val="13"/>
        <color theme="1"/>
        <rFont val="Times New Roman"/>
        <family val="1"/>
      </rPr>
      <t>&gt;</t>
    </r>
    <r>
      <rPr>
        <sz val="13"/>
        <color theme="1"/>
        <rFont val="Times New Roman"/>
        <family val="1"/>
      </rPr>
      <t xml:space="preserve"> 5 năm kể từ ngày sản xuất</t>
    </r>
  </si>
  <si>
    <r>
      <t xml:space="preserve">Inverter 220VAC &amp; 110VDC </t>
    </r>
    <r>
      <rPr>
        <sz val="13"/>
        <color theme="1"/>
        <rFont val="Symbol"/>
        <family val="1"/>
        <charset val="2"/>
      </rPr>
      <t xml:space="preserve">® </t>
    </r>
    <r>
      <rPr>
        <b/>
        <sz val="13"/>
        <color theme="1"/>
        <rFont val="Calibri Light"/>
        <family val="1"/>
        <scheme val="major"/>
      </rPr>
      <t>220VAC, 2000VA (power supply):</t>
    </r>
  </si>
  <si>
    <r>
      <t>220VAC (</t>
    </r>
    <r>
      <rPr>
        <u/>
        <sz val="13"/>
        <color theme="1"/>
        <rFont val="Times New Roman"/>
        <family val="1"/>
      </rPr>
      <t>+</t>
    </r>
    <r>
      <rPr>
        <sz val="13"/>
        <color theme="1"/>
        <rFont val="Times New Roman"/>
        <family val="1"/>
      </rPr>
      <t xml:space="preserve"> 20%)</t>
    </r>
  </si>
  <si>
    <r>
      <t xml:space="preserve">50Hz </t>
    </r>
    <r>
      <rPr>
        <u/>
        <sz val="13"/>
        <color theme="1"/>
        <rFont val="Times New Roman"/>
        <family val="1"/>
      </rPr>
      <t>+</t>
    </r>
    <r>
      <rPr>
        <sz val="13"/>
        <color theme="1"/>
        <rFont val="Times New Roman"/>
        <family val="1"/>
      </rPr>
      <t xml:space="preserve"> 0.05Hz</t>
    </r>
  </si>
  <si>
    <r>
      <t>0-40</t>
    </r>
    <r>
      <rPr>
        <vertAlign val="superscript"/>
        <sz val="13"/>
        <color theme="1"/>
        <rFont val="Times New Roman"/>
        <family val="1"/>
      </rPr>
      <t>0</t>
    </r>
    <r>
      <rPr>
        <sz val="13"/>
        <color theme="1"/>
        <rFont val="Times New Roman"/>
        <family val="1"/>
      </rPr>
      <t>C</t>
    </r>
  </si>
  <si>
    <r>
      <t>&gt;</t>
    </r>
    <r>
      <rPr>
        <sz val="13"/>
        <color theme="1"/>
        <rFont val="Times New Roman"/>
        <family val="1"/>
      </rPr>
      <t xml:space="preserve"> 2 cổng Ethernet (RJ45 connector)</t>
    </r>
  </si>
  <si>
    <r>
      <t>Nhiệt độ: 0</t>
    </r>
    <r>
      <rPr>
        <vertAlign val="superscript"/>
        <sz val="13"/>
        <color theme="1"/>
        <rFont val="Times New Roman"/>
        <family val="1"/>
      </rPr>
      <t>0</t>
    </r>
    <r>
      <rPr>
        <sz val="13"/>
        <color theme="1"/>
        <rFont val="Times New Roman"/>
        <family val="1"/>
      </rPr>
      <t xml:space="preserve">C </t>
    </r>
    <r>
      <rPr>
        <sz val="13"/>
        <color theme="1"/>
        <rFont val="Symbol"/>
        <family val="1"/>
        <charset val="2"/>
      </rPr>
      <t>¸</t>
    </r>
    <r>
      <rPr>
        <sz val="13"/>
        <color theme="1"/>
        <rFont val="Times New Roman"/>
        <family val="1"/>
      </rPr>
      <t xml:space="preserve"> +55</t>
    </r>
    <r>
      <rPr>
        <vertAlign val="superscript"/>
        <sz val="13"/>
        <color theme="1"/>
        <rFont val="Times New Roman"/>
        <family val="1"/>
      </rPr>
      <t>0</t>
    </r>
    <r>
      <rPr>
        <sz val="13"/>
        <color theme="1"/>
        <rFont val="Times New Roman"/>
        <family val="1"/>
      </rPr>
      <t>C (IEC60068-2-1 và 60068-2-2);</t>
    </r>
  </si>
  <si>
    <t>Nội dung yêu cầu</t>
  </si>
  <si>
    <t>Camera hàng rào quanh trạm</t>
  </si>
  <si>
    <t>Mã sản phẩm</t>
  </si>
  <si>
    <t>Nhà thầu khai báo</t>
  </si>
  <si>
    <t>Catalog theo mã thiết bị</t>
  </si>
  <si>
    <t>Nhà thầu xuất trình</t>
  </si>
  <si>
    <t>Chứng nhận CO</t>
  </si>
  <si>
    <t>Có (nếu hàng hóa nước ngoài)</t>
  </si>
  <si>
    <t>Chứng nhận CQ hoặc Chứng nhận xuất xưởng</t>
  </si>
  <si>
    <t>Tiêu chuẩn tác động môi trường</t>
  </si>
  <si>
    <t>CE hoặc tương đương</t>
  </si>
  <si>
    <t>Chất lượng thiết bị</t>
  </si>
  <si>
    <t>Mới 100%</t>
  </si>
  <si>
    <t>Thời gian bảo hành</t>
  </si>
  <si>
    <t>24 tháng kể từ khi ký biên bản nghiệm thu và đưa vào sử dụng.</t>
  </si>
  <si>
    <t>Năm sản xuất</t>
  </si>
  <si>
    <t>Các yêu cầu kỹ thuật chung trình bày trong phần I và III</t>
  </si>
  <si>
    <t>Yêu cầu kỹ thuật chi tiết</t>
  </si>
  <si>
    <t>Cảm biến hình ảnh</t>
  </si>
  <si>
    <t>≥ 1/ 2.8’’2 Megapixel CMOS</t>
  </si>
  <si>
    <t>Độ nhạy sáng</t>
  </si>
  <si>
    <t>≤ 0.01Lux</t>
  </si>
  <si>
    <t>Tích hợp hồng ngoại</t>
  </si>
  <si>
    <t>Chuẩn nén</t>
  </si>
  <si>
    <t>Hỗ trợ H264 hoặc cao hơn</t>
  </si>
  <si>
    <t>Độ phân giải</t>
  </si>
  <si>
    <t>≥ 1920*1080</t>
  </si>
  <si>
    <t>Tốc độ khung hình</t>
  </si>
  <si>
    <t>≥ 25fps</t>
  </si>
  <si>
    <t>Ethernet</t>
  </si>
  <si>
    <t>RJ-45 (10/100Base-T)</t>
  </si>
  <si>
    <t>Giao thức</t>
  </si>
  <si>
    <t>IPv4/IPv6, HTTP, TCP/IP, UDP, IGMP, RTSP, RTP, SMTP, NTP, DHCP</t>
  </si>
  <si>
    <t>Khả năng tương thích</t>
  </si>
  <si>
    <t>ONVIF</t>
  </si>
  <si>
    <t>Hỗ trợ PoE</t>
  </si>
  <si>
    <t>Tiêu chuẩn bảo vệ</t>
  </si>
  <si>
    <t>≥ IP66</t>
  </si>
  <si>
    <t>Nhiệt độ hoạt động</t>
  </si>
  <si>
    <t>Tối thiểu ≤ 0º</t>
  </si>
  <si>
    <t>Tối đa ≥ 60º</t>
  </si>
  <si>
    <t>Độ ẩm hoạt động</t>
  </si>
  <si>
    <t>Tối thiểu ≤ 10%</t>
  </si>
  <si>
    <t>Tối đa ≥ 85%</t>
  </si>
  <si>
    <t>Có sẵn</t>
  </si>
  <si>
    <t>Phụ kiện đấu nối, bộ chuyển đổi nguồn đấu nối với nguồn tại trạm, phụ kiện treo gá …</t>
  </si>
  <si>
    <t>Đáp ứng đầy đủ</t>
  </si>
  <si>
    <t>Hệ thống Camera</t>
  </si>
  <si>
    <r>
      <t>24 tháng</t>
    </r>
    <r>
      <rPr>
        <sz val="13"/>
        <color theme="1"/>
        <rFont val="Times New Roman"/>
        <family val="1"/>
      </rPr>
      <t xml:space="preserve"> kể từ khi ký biên bản nghiệm thu và đưa vào sử dụng.</t>
    </r>
  </si>
  <si>
    <t>Đơn vị tự đề xuất đảm bảo sản phẩm có thời gian sản xuất phù hợp</t>
  </si>
  <si>
    <t>Phát hiện vượt hàng rào và phát hiện xâm nhập khu vực cấm</t>
  </si>
  <si>
    <t>Camera PTZ Dome sân ngắt</t>
  </si>
  <si>
    <t>≤ 0.1 Lux</t>
  </si>
  <si>
    <t>Phạm vi quay</t>
  </si>
  <si>
    <t>Quay ngang: 360º Góc quay dọc: 15º~90º
Zoom quang: ≥ 20x</t>
  </si>
  <si>
    <t>Tốc độ Khung hình</t>
  </si>
  <si>
    <t>IPv4/IPv6,HTTP,TCP/IP,UDP, IGMP,RTSP,RTP, SMTP,NTP,DHCP</t>
  </si>
  <si>
    <t>Nguồn điện</t>
  </si>
  <si>
    <t>Tiêu chuẩn ngoài trời</t>
  </si>
  <si>
    <t>Phát hiện xâm nhập vùng cấp</t>
  </si>
  <si>
    <t>Camera cố định trong nhà</t>
  </si>
  <si>
    <t>≤ 0.1Lux</t>
  </si>
  <si>
    <t>IPv4/IPv6, HTTP, TCP/IP, IGMP, RTSP, RTP, SMTP, NTP, DHCP</t>
  </si>
  <si>
    <t>Tối đa ≥ 50º</t>
  </si>
  <si>
    <t>Phát hiện xâm nhập vùng cấm</t>
  </si>
  <si>
    <t>Thiết bị mạng Switch tại TBA</t>
  </si>
  <si>
    <t>Cổng mạng</t>
  </si>
  <si>
    <t>Tối thiểu ≥ 24 Port PoE</t>
  </si>
  <si>
    <t>SFP Port</t>
  </si>
  <si>
    <t>Tối thiểu ≥ 02 Cổng module SFP</t>
  </si>
  <si>
    <t>Network Protocol</t>
  </si>
  <si>
    <t>IEEE 802.1ak, 802.1AB, 802.1br, 802.1D, 802.1p, 802.1Q, 802.1s, 802.1w,</t>
  </si>
  <si>
    <t>Tính năng kỹ thuật</t>
  </si>
  <si>
    <t>+ Maximum MAC addresses: ≥ 32,000</t>
  </si>
  <si>
    <t>+ Jumbo frames: ≥ 9216 bytes</t>
  </si>
  <si>
    <t>+ Number of VLANs supported: ≥ 4,096</t>
  </si>
  <si>
    <t>+ Routing Protocols: RIP v1/v2, OSPF v2</t>
  </si>
  <si>
    <t>+ Static routing</t>
  </si>
  <si>
    <t>+ Layer 3 redundancy: VRRP</t>
  </si>
  <si>
    <t>+ Tối thiểu 02 GB DRAM</t>
  </si>
  <si>
    <t>+ Dung lượng chuyển mạch (Packet- Switching Capacities) ≥ 288 Gbps</t>
  </si>
  <si>
    <t>Hiệu năng</t>
  </si>
  <si>
    <t>Chế độ chuyển tiếp</t>
  </si>
  <si>
    <t>Store-and-forward</t>
  </si>
  <si>
    <t>Flow Control</t>
  </si>
  <si>
    <t>IEEE 802.3x flow control</t>
  </si>
  <si>
    <t>Tối đa ≥ 45º</t>
  </si>
  <si>
    <t>Độ ẩm làm việc</t>
  </si>
  <si>
    <t>Hệ thống kiểm soát ra vào</t>
  </si>
  <si>
    <t>Bộ điều khiển trung tâm</t>
  </si>
  <si>
    <t>Tuỳ chọn</t>
  </si>
  <si>
    <t>Cổng giao tiếp kết nối</t>
  </si>
  <si>
    <t>TCP/IP; RS-485</t>
  </si>
  <si>
    <t>Tối thiểu ≤ 0°C</t>
  </si>
  <si>
    <t>Tối đa ≥ 50°C</t>
  </si>
  <si>
    <t>Nút nhấn mở cửa</t>
  </si>
  <si>
    <t>Tối thiểu 4</t>
  </si>
  <si>
    <t>Điều khiển mở cửa</t>
  </si>
  <si>
    <t>Cổng giao tiếp đầu đọc</t>
  </si>
  <si>
    <t>Wiegand, RS485</t>
  </si>
  <si>
    <t>Lưu trữ giao dịch</t>
  </si>
  <si>
    <t>≥10.000 giao dịch</t>
  </si>
  <si>
    <t>Đầu đọc chính</t>
  </si>
  <si>
    <t>125KHZ hoặc 13.56MHZ</t>
  </si>
  <si>
    <t>Khoảng cách đọc</t>
  </si>
  <si>
    <t>125KHZ: Tối đa đạt 15cm hoặc cao hơn</t>
  </si>
  <si>
    <t>13.56MHZ: Tối đa đạt 5cm hoặc cao hơn</t>
  </si>
  <si>
    <t>Trong dải 9-16VDC</t>
  </si>
  <si>
    <t>Công giao tiếp</t>
  </si>
  <si>
    <t>RS485</t>
  </si>
  <si>
    <t>Chuẩn bảo vệ</t>
  </si>
  <si>
    <t>≥ IP55</t>
  </si>
  <si>
    <t>Bàn phím</t>
  </si>
  <si>
    <t>Cổng đọc phụ</t>
  </si>
  <si>
    <t>Wiegand</t>
  </si>
  <si>
    <t>Đầu đọc phụ</t>
  </si>
  <si>
    <t>125KHZ: Tối đa đạt 12cm hoặc cao hơn</t>
  </si>
  <si>
    <t>Giao tiếp</t>
  </si>
  <si>
    <t>Không</t>
  </si>
  <si>
    <t>Khóa điện</t>
  </si>
  <si>
    <t>Khả năng chịu lực tối đa</t>
  </si>
  <si>
    <t>300kg</t>
  </si>
  <si>
    <t>Thích hợp cho các loại cửa</t>
  </si>
  <si>
    <t>Kiếng, gỗ, kim loại, cửa chống cháy</t>
  </si>
  <si>
    <t>Trong dải 12-24VDC</t>
  </si>
  <si>
    <t>Hộp thoát khẩn</t>
  </si>
  <si>
    <t>Dùng cho cửa ra hoặc cửa thoát hiểm</t>
  </si>
  <si>
    <t>Làm bằng vật liệu chống cháy</t>
  </si>
  <si>
    <t>Thiết bị Trung tâm truyền tin &amp; điều khiển chuyên dụng</t>
  </si>
  <si>
    <t>Mã thiết bị</t>
  </si>
  <si>
    <t>Các yêu cầu kỹ thuật chung trình   bày trong phần I và III</t>
  </si>
  <si>
    <t>Kết nối, thu thập và xử lý thông tin từ cảm biến (khói, nhiệt, đo nhiệt độ, độ ấm, từ cửa, tủ báo cháy trung tâm, hệ thống truy cập vào ra)</t>
  </si>
  <si>
    <t>Có các cổng output có thể kết nối điều khiển các thiết bị khác: Loa, đèn, còi, hệ thống chữa cháy, cửa ….</t>
  </si>
  <si>
    <t>Kết nối và truyền tin cảnh báo cháy về TTĐK</t>
  </si>
  <si>
    <t>Tương thích và kết nối với phần mềm Trung tâm giám sát cảnh báo tích hợp tại TTĐK.</t>
  </si>
  <si>
    <t>Truyền tin cảnh báo và hình ảnh chụp kèm theo về TTĐK bằng đường truyền chính là Ethernet, nếu không truyền được bằng đường chính thì tự động chuyển qua truyền bằng đường dự phòng GPRS/3G.</t>
  </si>
  <si>
    <t xml:space="preserve">Gửi tin báo đến số điện thoại khi có tín hiệu báo cháy </t>
  </si>
  <si>
    <t>Có thể mở rộng module giao tiếp truyền tin báo cháy về hệ thống của lực lượng cảnh sát PCCC địa phương bằng Internet hoặc GPRS/3G.</t>
  </si>
  <si>
    <t>Tùy chọn.</t>
  </si>
  <si>
    <t>Cổng giao tiếp LAN</t>
  </si>
  <si>
    <t>Hỗ trợ thẻ SIM 3G</t>
  </si>
  <si>
    <t>Tối thiểu ≤ 0%</t>
  </si>
  <si>
    <t>Chứng nhận kỹ thuật</t>
  </si>
  <si>
    <t>Chứng nhận hợp quy/công bố hợp quy về Thiết bị đầu cuối thông tin di động GSM, quy chuẩn áp dụng:</t>
  </si>
  <si>
    <t>+ QCVN 12:2015/BTTTT (chứng nhận hợp quy)</t>
  </si>
  <si>
    <t>+ QCVN 86:2019/BTTTT (công bố hợp quy hoặc chứng nhận hợp quy)</t>
  </si>
  <si>
    <t>Thiết bị ghi hình và phân tích hình ảnh</t>
  </si>
  <si>
    <t>Số kênh IP Camera</t>
  </si>
  <si>
    <t>Tối thiểu 16 kênh</t>
  </si>
  <si>
    <t>Tương thích hầu hết tất cả các IP Camera có chuẩn ONVIF</t>
  </si>
  <si>
    <t>Tiêu chuẩn nén hình ảnh</t>
  </si>
  <si>
    <t>H264 hoặc cao hơn</t>
  </si>
  <si>
    <t>Tương thích và kết nối:</t>
  </si>
  <si>
    <t>Tương thích và kết nối truyền tin và hình ảnh cảnh báo về phần mềm tại TTĐK.</t>
  </si>
  <si>
    <t>Tương thích và kết nối nhận lệnh điều khiển Camera quay, chụp hình ảnh theo kịch bản định trước, kết nối mạng WAN qua switch</t>
  </si>
  <si>
    <t>Hỗ trợ giao thức tích hợp</t>
  </si>
  <si>
    <t>Hỗ trợ giao thức ONVIF</t>
  </si>
  <si>
    <t>Tối thiểu 2 x RJ45</t>
  </si>
  <si>
    <r>
      <t xml:space="preserve">Tối thiểu 8TB HDD và đảm bảo ghi hình chất lượng Full HD thời gian tối thiểu </t>
    </r>
    <r>
      <rPr>
        <b/>
        <sz val="13"/>
        <color theme="1"/>
        <rFont val="Times New Roman"/>
        <family val="1"/>
      </rPr>
      <t>15 ngày</t>
    </r>
  </si>
  <si>
    <t>Dung lượng lưu trữ</t>
  </si>
  <si>
    <t>Dự phòng dữ liệu</t>
  </si>
  <si>
    <t>Mirror dữ liệu</t>
  </si>
  <si>
    <t>Ngõ ra hình ảnh</t>
  </si>
  <si>
    <t>≥ 1 x HDMI</t>
  </si>
  <si>
    <t>≥ 1x VGA</t>
  </si>
  <si>
    <t>Thiết bị chuyển đổi nguồn điện</t>
  </si>
  <si>
    <t>≥ 2KVA</t>
  </si>
  <si>
    <t>Điện áp đầu vào</t>
  </si>
  <si>
    <t>110 VDC và 220 VAC</t>
  </si>
  <si>
    <t>Điện áp đầu ra</t>
  </si>
  <si>
    <t>220VAC ± 10%</t>
  </si>
  <si>
    <t>50Hz</t>
  </si>
  <si>
    <t>Bảo vệ ngắn mạch đầu ra</t>
  </si>
  <si>
    <t>Lắp Rack hoặc Din raid</t>
  </si>
  <si>
    <t>Tối đa ≥ 40°C</t>
  </si>
  <si>
    <t>Tủ Rack 19inche</t>
  </si>
  <si>
    <t>Cấu tạo</t>
  </si>
  <si>
    <t>- Kích thước tối thiểu 800mm(D) x 600mm(W) x 1420 mm(H).</t>
  </si>
  <si>
    <t>- Kết cấu dạng đứng làm bằng thép dày tối thiểu 1.5mm gồm 2 vách hông và 2 cửa, cửa trước lắp kính hoặc mica trong suốt hoặc dạng lưới để quan sát thiết bị bên trong, cửa sau bít, 2 quạt thông gió, toàn bộ tủ được sơn tỉnh điện.</t>
  </si>
  <si>
    <t>2</t>
  </si>
  <si>
    <t>- Có sẵn các ổ cắm điện, thanh quản lý cáp, các bảng cắm cáp để kết nối với hệ thống thiết bị bên ngoài.</t>
  </si>
  <si>
    <t>-      Có sẵn các cáp mạng, điện để kết nối các thiết bị trong tủ.</t>
  </si>
  <si>
    <t>-        Có sẳn din raid, máng cáp, hàng kẹp tín hiệu, phụ kiện lắp đặt đấu nối, thanh nguồn, các ổ cắm đa năng, nguồn tổng, phích cắm BS, dây cáp mạng,…</t>
  </si>
  <si>
    <t>Màn hình vi tính</t>
  </si>
  <si>
    <t>Kích thước màn hình</t>
  </si>
  <si>
    <t>Tối thiểu 31.5 inch</t>
  </si>
  <si>
    <t>Tối thiểu 1xHDMI</t>
  </si>
  <si>
    <t>Tối thiểu 1xVGA</t>
  </si>
  <si>
    <t>Đáp ứng
(Tối thiểu 100m)</t>
  </si>
  <si>
    <t>Đáp ứng
(Tối thiểu 30m)</t>
  </si>
  <si>
    <t>12 tháng kể từ khi ký biên bản nghiệm thu và đưa vào sử dụng.</t>
  </si>
  <si>
    <t>+ Tốc độ chuyển mạch gói tin (Layer 2/Layer 3 Throughput) ≥ 214 Mpps</t>
  </si>
  <si>
    <t>Đơn vị tự đề xuất đảm bảo sản phẩm có
thời gian sản xuất phù hợp</t>
  </si>
  <si>
    <t>Thiết bị PCCC</t>
  </si>
  <si>
    <t>Đầu dò nhiệt chống nổ</t>
  </si>
  <si>
    <t>Tiêu chuẩn quản lý chất lượng   sản phẩm</t>
  </si>
  <si>
    <t>Kiểu</t>
  </si>
  <si>
    <t>địa chỉ</t>
  </si>
  <si>
    <t>Tương thích với tủ báo cháy</t>
  </si>
  <si>
    <t>Khả năng lập trình địa chỉ</t>
  </si>
  <si>
    <t>Có, nêu cụ thể</t>
  </si>
  <si>
    <t>Đèn chỉ thị chế độ làm việc bình thương và sự cố</t>
  </si>
  <si>
    <t>Độ vang</t>
  </si>
  <si>
    <t>≥ 90 dB/1m</t>
  </si>
  <si>
    <t>Số lượng input</t>
  </si>
  <si>
    <t>Số kênh giám sát</t>
  </si>
  <si>
    <t>Chất liệu vỏ</t>
  </si>
  <si>
    <t>Kim loại</t>
  </si>
  <si>
    <t>Lập trình</t>
  </si>
  <si>
    <t>Hệ thống báo cháy</t>
  </si>
  <si>
    <t>Tủ báo cháy trung tâm địa chỉ</t>
  </si>
  <si>
    <t>4.1.1</t>
  </si>
  <si>
    <t>Đáp ứng thu thập tín hiệu cảm biến báo nhiệt; báo khói….; 2 loop x (≥159 địa chỉ).</t>
  </si>
  <si>
    <t>2 loop x (≥159 địa chỉ)</t>
  </si>
  <si>
    <t>Nguồn cấp:</t>
  </si>
  <si>
    <t>Có khả năng tích hợp tín hiệu báo cháy vào phần mềm camera an ninh tại TTĐK thông qua kênh truyền camera</t>
  </si>
  <si>
    <t>Độ ẩm cho phép</t>
  </si>
  <si>
    <t>Tiêu chuẩn chế tạo</t>
  </si>
  <si>
    <t>TCVN 5738: 2021; hoặc NFPA72.</t>
  </si>
  <si>
    <t>Tối thiểu ≤ 0°C 
Tối đa ≥ 70°C</t>
  </si>
  <si>
    <t>93% ± 2% RH
(không ngưng tụ) at 32°C ± 2°C (90°F ± 3°F).</t>
  </si>
  <si>
    <t>-   Điện lưới 220VAC-50Hz-10A;</t>
  </si>
  <si>
    <t>-   Acquy khô 24VDC-16AH;</t>
  </si>
  <si>
    <t>-   Bộ xạc tự động cho bình Accu loại tích hợp trong tủ báo cháy trung tâm.</t>
  </si>
  <si>
    <t>-   Tích hợp cổng giao diện RS-232 để lập trình thông qua máy tính và kết nối với máy in;</t>
  </si>
  <si>
    <t>-   Giao tiếp với mạng máy tính nội bộ qua kết nối RJ45;</t>
  </si>
  <si>
    <t>-   Giao tiếp với phần mềm đồ họa;</t>
  </si>
  <si>
    <t>-   Giao tiếp với hệ thống điện;</t>
  </si>
  <si>
    <t>-   Giao tiếp với hệ thống camera;</t>
  </si>
  <si>
    <t>-   Tủ báo cháy trung tâm có chức năng hiển thị, kiểm soát và điều khiển hệ thống PCCC của trạm từ xa qua đường truyền mạng nội bộ từ máy tính của trung tâm điều khiển xa.</t>
  </si>
  <si>
    <t>-   Có thể lập trình qua các nút nhấn trên tủ hoặc kết nối với máy tính thông qua phần mềm.</t>
  </si>
  <si>
    <t>-   Phần mềm lập trình sử dụng phương thức lập trình đồ họa, trực quan, dễ sử dụng.</t>
  </si>
  <si>
    <t>-   Có thể sử dụng bản đồ, đồ họa, âm thanh để giám sát và báo động.</t>
  </si>
  <si>
    <t>-   Cho phép cập nhật lại Firmware từ phần mềm.</t>
  </si>
  <si>
    <t>-   Linh hoạt với khả năng lập trình kết quả Cause &amp; Effect:</t>
  </si>
  <si>
    <t>•  Nguyên nhân và hành động;</t>
  </si>
  <si>
    <t>•  Chức năng vô hiệu hoá cấu hình;</t>
  </si>
  <si>
    <t>-   Chế độ kiểm tra cấu hình.</t>
  </si>
  <si>
    <t>4.1.2</t>
  </si>
  <si>
    <t>Đầu dò tích hợp khói và nhiệt loại địa chỉ</t>
  </si>
  <si>
    <t>Báo cháy quang học, loại sử dụng nhiều lần; loại địa chỉ.</t>
  </si>
  <si>
    <t>Tương thích với tủ báo cháy địa chỉ loại 2 loop x (≥159 địa chỉ).</t>
  </si>
  <si>
    <t>Điện áp làm việc</t>
  </si>
  <si>
    <t>24VDC</t>
  </si>
  <si>
    <t>4.1.3</t>
  </si>
  <si>
    <t>Kết hợp với moduler địa chỉ</t>
  </si>
  <si>
    <t>Nhiệt độ tác động  ≥ 68°C</t>
  </si>
  <si>
    <t>Nhiệt độ tác động  90°C</t>
  </si>
  <si>
    <t>4.1.4</t>
  </si>
  <si>
    <t>Nút báo cháy khẩn cấp loại trong nhà</t>
  </si>
  <si>
    <t>Còi tích hợp đèn chớp báo cháy loại trong nhà</t>
  </si>
  <si>
    <t>Tích hợp sẵn còi báo cháy và đèn chớp báo cháy</t>
  </si>
  <si>
    <t>4.1.5</t>
  </si>
  <si>
    <t>4.1.6</t>
  </si>
  <si>
    <t>Còi tích hợp đèn chớp báo cháy loại ngoài trời</t>
  </si>
  <si>
    <t xml:space="preserve">Độ kín nước: </t>
  </si>
  <si>
    <t>IP 64</t>
  </si>
  <si>
    <t>TCVN 5738: 2021; hoặc NFPA72; IP67.</t>
  </si>
  <si>
    <t>Tối thiểu ≤ 0°C
 Tối đa ≥ 70°C</t>
  </si>
  <si>
    <t>4.1.7</t>
  </si>
  <si>
    <t>Nút báo cháy khẩn cấp loại ngoài trời</t>
  </si>
  <si>
    <t>4.1.8</t>
  </si>
  <si>
    <t>Moduler đầu vào điều khiển các thiết bị không địa chỉ</t>
  </si>
  <si>
    <t>Dạng module địa chỉ đầu vào; cổng giao tiếp 1 địa chỉ hoặc nhiều địa chỉ; tương thích với tủ báo cháy trung tâm địa chỉ.</t>
  </si>
  <si>
    <t>Đèn chỉ thị chế độ làm việc bình</t>
  </si>
  <si>
    <t>thương và sự cố</t>
  </si>
  <si>
    <t>Moduler đầu ra điều khiển các thiết bị không địa chỉ</t>
  </si>
  <si>
    <t>4.1.9</t>
  </si>
  <si>
    <t>Dạng module địa chỉ đầu ra cổng giao tiếp 1 địa chỉ hoặc nhiều địa chỉ; tương thích với tủ báo cháy trung tâm địa chỉ.</t>
  </si>
  <si>
    <t>4.1.10</t>
  </si>
  <si>
    <t>Moduler cách ly</t>
  </si>
  <si>
    <t>Tương thích với tủ báo cháy trung tâm địa chỉ.</t>
  </si>
  <si>
    <t>Cách ly giữa các khối, bảo vệ hệ thống chống ngắn mạch; tương thích với tủ báo cháy trung tâm địa chỉ.</t>
  </si>
  <si>
    <t>4.1.11</t>
  </si>
  <si>
    <t>Đèn chỉ dẫn thoát hiểm</t>
  </si>
  <si>
    <t>Chế độ hoạt động</t>
  </si>
  <si>
    <t>Liên tục.</t>
  </si>
  <si>
    <t>AC 220V/50Hz</t>
  </si>
  <si>
    <t>Pin sạc Ni-Cd</t>
  </si>
  <si>
    <t>3.6V - 700mA</t>
  </si>
  <si>
    <t>Bóng đèn</t>
  </si>
  <si>
    <t>SUPER LED (ánh sáng mạnh, độ bền cao)</t>
  </si>
  <si>
    <t>Thời gian thắp sáng</t>
  </si>
  <si>
    <t>2.0 giờ ( chế độ DC)</t>
  </si>
  <si>
    <t>Chức năng an toàn</t>
  </si>
  <si>
    <t>Tự ngắt mạch khi nạp đủ.</t>
  </si>
  <si>
    <t>TCVN 13456: 2022</t>
  </si>
  <si>
    <t>4.1.12</t>
  </si>
  <si>
    <t>Đèn chiếu sáng sự cố</t>
  </si>
  <si>
    <t>3.6V – 1.8Ah</t>
  </si>
  <si>
    <t>4.1.13</t>
  </si>
  <si>
    <t>4.1.14</t>
  </si>
  <si>
    <t>Đèn chiếu sáng sự cố dùng cho phòng Ác quy</t>
  </si>
  <si>
    <t>Đèn chỉ dẫn thoát hiểm dùng cho phòng Ác quy</t>
  </si>
  <si>
    <t>4.1.15</t>
  </si>
  <si>
    <t>Đèn chiếu sáng sự cố trong nhà trạm bơm</t>
  </si>
  <si>
    <t>Không liên tục.</t>
  </si>
  <si>
    <t>Pin sạc Acid Battery hoặc Pin sạc Ni-Cd</t>
  </si>
  <si>
    <t>12V  7.5Ah</t>
  </si>
  <si>
    <t>Halogen G4, hoặc Led.</t>
  </si>
  <si>
    <t>Công suất tiêu thụ</t>
  </si>
  <si>
    <t>2 x 10W</t>
  </si>
  <si>
    <t>Thời gian hoạt động bằng pin lưu trữ quy định</t>
  </si>
  <si>
    <t>≥ 3 giờ, điều 2.1.7, QCVN 02: 2020/BC.</t>
  </si>
  <si>
    <t>TCVN 13456: 2022; QCVN02: 2020/BCA quy định tại điều 2.1.7.</t>
  </si>
  <si>
    <t>4.1.16</t>
  </si>
  <si>
    <t>Đèn ghi chữ “Trạm bơm chữa cháy”</t>
  </si>
  <si>
    <t>2 x 5 W</t>
  </si>
  <si>
    <t>Đèn ghi chữ</t>
  </si>
  <si>
    <t>TCVN 13456: 2022; TCVN 7336: 2021</t>
  </si>
  <si>
    <t>Board PCI kết nối máy vi tính với tủ báo cháy trung tâm</t>
  </si>
  <si>
    <t>4.1.17</t>
  </si>
  <si>
    <t>Tương thích với tủ báo cháy trung tâm địa chỉ; bao gồm cổng giao tiếp với máy vi tính loạp JR45.</t>
  </si>
  <si>
    <t>4.1.18</t>
  </si>
  <si>
    <t>Phần mềm điều khiển và hiển thị hệ thống PCCC từ xa trên máy tính</t>
  </si>
  <si>
    <t>Điều khiển và hiển thị tủ báo cháy trung tâm địa chỉ; trên máy vi tính sử dụng hệ điều hành Windows® mới nhất.</t>
  </si>
  <si>
    <t>Khả năng điều khiển, hiển thị các thiết bị PCCC trên màn hình máy vi tính tại trạm và tại trung tâm điều khiển xa</t>
  </si>
  <si>
    <t>4.1.19</t>
  </si>
  <si>
    <t>Dây dò báo cháy nhiệt tuyến cáp</t>
  </si>
  <si>
    <t>24V DC</t>
  </si>
  <si>
    <t>Vật liệu cách điện nhạy cảm với Nhiệt độ có độ dày</t>
  </si>
  <si>
    <t>1.55mm</t>
  </si>
  <si>
    <t>Tách động khi nhiệt độ môi trường đặt cáp dò nhiệt vượt quá 88 ºC</t>
  </si>
  <si>
    <t>Tối thiểu ≤ 0°C 
Tối đa ≥ 90°C</t>
  </si>
  <si>
    <t>4.1.20</t>
  </si>
  <si>
    <t>Dây dẫn cho hệ thống báo cháy</t>
  </si>
  <si>
    <t>Tiết diện</t>
  </si>
  <si>
    <t>IEC 502; IEC 60331-21; TCVN 5935.</t>
  </si>
  <si>
    <t>Cáp đồng, nhiều lõi, có giáp chống nhiễu, chống cháy, ít khói, bọc XLPE loại CXE/LSF; IEC 502; IEC 60331-21; TCVN 5935.</t>
  </si>
  <si>
    <t>4.1.21</t>
  </si>
  <si>
    <t xml:space="preserve"> Các loại tủ PCCC</t>
  </si>
  <si>
    <t>Phần khung tủ</t>
  </si>
  <si>
    <t>Tôn vỏ tủ</t>
  </si>
  <si>
    <t>- TCVN</t>
  </si>
  <si>
    <t>4.1.22</t>
  </si>
  <si>
    <t>Bơm hút nước bể dầu sự cố</t>
  </si>
  <si>
    <t>Đặc tính kỹ thuật</t>
  </si>
  <si>
    <t>- P = 1.5 kW.</t>
  </si>
  <si>
    <t>Tủ điều khiển</t>
  </si>
  <si>
    <t>TCVN, IP51.</t>
  </si>
  <si>
    <t>Hiển thị</t>
  </si>
  <si>
    <t>Báo động</t>
  </si>
  <si>
    <t>Hệ thống chữa cháy bằng nước</t>
  </si>
  <si>
    <t>4.2.1</t>
  </si>
  <si>
    <t>Bơm nước chữa cháy dùng động cơ điện</t>
  </si>
  <si>
    <t>Các bơm nước chữa cháy phải đóng nhãn trên vỏ bơm theo quy định hiện hành và trong đó thể hiện các thông số kỹ thuật cơ bản như sau:</t>
  </si>
  <si>
    <t>QCVN-02: 2020/BCA hoặc NFPA 20.</t>
  </si>
  <si>
    <t>4.2.2</t>
  </si>
  <si>
    <t>Bơm nước chữa cháy dùng động cơ Diesel</t>
  </si>
  <si>
    <t>Bơm nước chữa cháy bù áp</t>
  </si>
  <si>
    <t>Bơm bù áp phải đóng nhãn trên vỏ bơm theo quy định hiện hành và trong đó thể hiện các thông số kỹ thuật cơ bản như sau:</t>
  </si>
  <si>
    <t>4.2.3</t>
  </si>
  <si>
    <t>Lăng phun nước</t>
  </si>
  <si>
    <t>BS6391 và Việt Nam TCVN 5740: 2009.</t>
  </si>
  <si>
    <t>4.2.4</t>
  </si>
  <si>
    <t>Họng tiếp nước 2 chạc dùng tiếp nước cứu hoả</t>
  </si>
  <si>
    <t>4.2.5</t>
  </si>
  <si>
    <t>QCVN-02: 2020/BCA; TCVN: 6379 -1998 hoặc NFPA 20.</t>
  </si>
  <si>
    <t>4.2.6</t>
  </si>
  <si>
    <t>Van an toàn DN100</t>
  </si>
  <si>
    <t>4.2.7</t>
  </si>
  <si>
    <t>Quạt hướng trục chống cháy nổ</t>
  </si>
  <si>
    <t>EN 13463-1; EN 13463-5; EN 14986.</t>
  </si>
  <si>
    <t>4.2.8</t>
  </si>
  <si>
    <t>Đồng hồ đo áp suất (Pressure Gauge)</t>
  </si>
  <si>
    <t>Độ chính xác</t>
  </si>
  <si>
    <t>Nhiệt độ môi trường xung quanh:</t>
  </si>
  <si>
    <t>Nhiệt độ phục vụ:</t>
  </si>
  <si>
    <t>max 300 ° C</t>
  </si>
  <si>
    <t>Giới hạn áp suất:</t>
  </si>
  <si>
    <t>Áp suất ổn định lên đến giá trị FS</t>
  </si>
  <si>
    <t>Áp suất dao động lên đến 90% giá trị FS</t>
  </si>
  <si>
    <t>Thời gian ngắn 1,3 x giá trị FS cho phạm vi lên đến 100 bar</t>
  </si>
  <si>
    <t>Thời gian ngắn 1,15 x giá trị FS cho phạm vi khoảng 100 bar</t>
  </si>
  <si>
    <t>Mối hàn:</t>
  </si>
  <si>
    <t xml:space="preserve">Mối hàn TIG Argon </t>
  </si>
  <si>
    <t>Kích thước hiển thị:</t>
  </si>
  <si>
    <t>DN50/DN63/DN80</t>
  </si>
  <si>
    <t>Phạm vi:</t>
  </si>
  <si>
    <t>-1 … 400 bar (DN50)</t>
  </si>
  <si>
    <t>-1 … 1000 bar (DN63/DN80)</t>
  </si>
  <si>
    <t>8</t>
  </si>
  <si>
    <t>Kiểu dáng lắp đặt:</t>
  </si>
  <si>
    <t>Kết nối trực tiếp, kết nối dưới cùng</t>
  </si>
  <si>
    <t>Quy cách kết nối:</t>
  </si>
  <si>
    <t>¼ "NPT (M) / ¼” BSP (M)</t>
  </si>
  <si>
    <t>Cấp bảo vệ sự xâm nhập:</t>
  </si>
  <si>
    <t>IP 54 / IP 65</t>
  </si>
  <si>
    <t>Cơ chế vận hành:</t>
  </si>
  <si>
    <t>Khô / khô nhưng có thể làm đầy.</t>
  </si>
  <si>
    <t>4.2.9</t>
  </si>
  <si>
    <t>Trụ nước chữa cháy ngoài nhà</t>
  </si>
  <si>
    <t>Áp suất hoạt động</t>
  </si>
  <si>
    <t>10 (kg/cm²)</t>
  </si>
  <si>
    <t>Chiều cao nâng của van</t>
  </si>
  <si>
    <t>30 mm</t>
  </si>
  <si>
    <t>Số vòng quay van mở hoàn toàn</t>
  </si>
  <si>
    <t>5 vòng</t>
  </si>
  <si>
    <t>Kích thước họng chờ lớn</t>
  </si>
  <si>
    <t>Đường kính trong Φ 110mm, lắp với đầu nối ĐT.2.125 hoặc ĐR.2.125 theo TCVN 5739 -1993.</t>
  </si>
  <si>
    <t>Kích thước họng chờ nhỏ</t>
  </si>
  <si>
    <t>Đường kính trong Φ 69mm, lắp với đầu nối ĐT-77 theo TCVN 5739 -1993.</t>
  </si>
  <si>
    <t>Đường kính tâm lỗ bắt bu lông</t>
  </si>
  <si>
    <t>Φ 180mm</t>
  </si>
  <si>
    <t>Đường kính lỗ bắt bu lông</t>
  </si>
  <si>
    <t>Φ 19mm</t>
  </si>
  <si>
    <t>Số lỗ</t>
  </si>
  <si>
    <t>Khối lượng trụ nước</t>
  </si>
  <si>
    <t>150kg</t>
  </si>
  <si>
    <t>TCVN6379: 1998</t>
  </si>
  <si>
    <t>Các loại thiết bị khác</t>
  </si>
  <si>
    <t>4.3.1</t>
  </si>
  <si>
    <t>Máy bộ đàm cầm tay</t>
  </si>
  <si>
    <t>Cự ly liên lạc:</t>
  </si>
  <si>
    <t>4.3.2</t>
  </si>
  <si>
    <t>Bình CO₂ loại 5kg/ bình</t>
  </si>
  <si>
    <t>-10 ÷ +55 °C</t>
  </si>
  <si>
    <t>TCVN6100; ISO5923</t>
  </si>
  <si>
    <t>4.3.3</t>
  </si>
  <si>
    <t>Bình bột ABC loại 4kg/ bình</t>
  </si>
  <si>
    <t>+55 độ C</t>
  </si>
  <si>
    <t>TCVN6102; ISO7202</t>
  </si>
  <si>
    <t>4.3.4</t>
  </si>
  <si>
    <t>Bình CO₂ loại 24kg/ bình (xe đẩy)</t>
  </si>
  <si>
    <t xml:space="preserve">Mã sản phẩm </t>
  </si>
  <si>
    <t>- Sức chứa (kg): 24±0.15</t>
  </si>
  <si>
    <t>Tối thiểu ≤ 0°C Tối đa ≥ 70°C</t>
  </si>
  <si>
    <t>IEC 502; IEC 60331-21; TCVN 5935</t>
  </si>
  <si>
    <t>4.3.5</t>
  </si>
  <si>
    <t>Các loại tủ PCCC</t>
  </si>
  <si>
    <t>-   Tự ngắt mạch khi nạp đủ;</t>
  </si>
  <si>
    <t>-   Loại chống nổ dùng trong nhà.</t>
  </si>
  <si>
    <t>“Trạm bơm chữa cháy” , được treo phía trên cửa chính ra vào trạm bơm, ở vị trí dễ nhận ra từ xa, kết nối với đèn chiếu sáng sự cố, đèn được chế tạo đảm bảo.</t>
  </si>
  <si>
    <t>-   Tiết diện cáp tín hiệu 1.5 mm²;</t>
  </si>
  <si>
    <t>-   Tiết diện cáp nguồn điều khiển 2.5 mm²;</t>
  </si>
  <si>
    <t>-   Tiết diện cáp nguồn cho máy bơm phù hợp với từng loại máy bơm:</t>
  </si>
  <si>
    <t>-   (3x10+1x6)mm²;</t>
  </si>
  <si>
    <t>-   (3x50+1x35)mm².</t>
  </si>
  <si>
    <t>-   Tủ điện được thiết kế dùng cho lắp đặt nhiều loại thiết bị, có chức năng riêng biệt như: MCB hoặc MCCB tổng, các loại moduler, relay, dây dẫn, cáp ra, vào tủ.... đáp ứng các thông số về điện, các thiết bị bên trong tủ được bố trí thuận lợi cho việc gá lắp, đấu nối;</t>
  </si>
  <si>
    <t>-   Tủ Moduler báo cháy loại, kèm đầy đủ phụ kiện lắp đặt;</t>
  </si>
  <si>
    <t>-   Tủ đặt trong nhà, loại treo trên tường, kín nước IP55;</t>
  </si>
  <si>
    <t>-   Tủ đặt ngoài trời, đặt trên bệ móng bằng bê ton cốt thép; kín nước IP65.</t>
  </si>
  <si>
    <t>-   được chế tạo từ thép tấm dày 1.5 – 2 mm;</t>
  </si>
  <si>
    <t>-   Sơn tĩnh điện màu đỏ.</t>
  </si>
  <si>
    <t>-   Khung tủ được chế tạo thuận lợi cho việc lắp ghép, vận hành và kết nối mở rộng.</t>
  </si>
  <si>
    <t>-   Tôn vỏ tủ loại tráng kẽm;</t>
  </si>
  <si>
    <t>-   Bề mặt hoàn thiện: Sơn tĩnh điện;</t>
  </si>
  <si>
    <t>-   Chiều dày vật liệu: 1mm;</t>
  </si>
  <si>
    <t>-   Màu tiêu chuẩn: Màu đỏ</t>
  </si>
  <si>
    <t>-   Máy bơm điện 3 pha 380/220 VAC;</t>
  </si>
  <si>
    <t>-   Cột áp tính với chiều cao cột nước qui đổi là H = 14 m cột nước;</t>
  </si>
  <si>
    <t>-   Lưu lượng Q = 21 m³/giờ;</t>
  </si>
  <si>
    <t>-   Bơm điện loại ly tâm.</t>
  </si>
  <si>
    <t>-   Nguồn điện: 3phase 380/220 VAC/50Hz</t>
  </si>
  <si>
    <t>-   Các phụ kiện kèm theo: Công tắc mực nước bể (công tằc phao).</t>
  </si>
  <si>
    <t>-   Máy bơm được đặt tại bể dầu sự cố, có lắp kèm chụp vệ mưa, nắng bằng totle.</t>
  </si>
  <si>
    <t>-   Phương thức khởi động: Trực tiếp (direct of line).</t>
  </si>
  <si>
    <t>-   Cách thức khởi động động cơ:</t>
  </si>
  <si>
    <t>-   Chế độ tự động: bằng việc nhận tín hiệu từ công tắc mực nước bể dầu sự cố. Trên tủ điều khiển phải có cổng kết nối để hiển thị các tình trạng hoạt động và điều khiển máy bơm từ xa.</t>
  </si>
  <si>
    <t>-   Chế độ khởi động bằng tay: ấn nút start trên tủ điều khiển.</t>
  </si>
  <si>
    <t>-   Điện áp nguồn</t>
  </si>
  <si>
    <t>-   Dòng điện làm việc 3 phase.</t>
  </si>
  <si>
    <t>-   Tình trạng bơm: hoạt động, dừng, lỗi hệ thống nguồn cấp, lỗi quá tải.</t>
  </si>
  <si>
    <t>-   Phát tín hiệu bơm hoạt động.</t>
  </si>
  <si>
    <t>-   Phát tín hiệu bơm dừng.</t>
  </si>
  <si>
    <t>-   Phát tín hiệu lỗi.</t>
  </si>
  <si>
    <t>a)            Bơm chữa cháy động cơ điện trọn bộ:</t>
  </si>
  <si>
    <r>
      <t>§</t>
    </r>
    <r>
      <rPr>
        <sz val="13"/>
        <color theme="1"/>
        <rFont val="Times New Roman"/>
        <family val="1"/>
      </rPr>
      <t>  Bơm chữa cháy sử dụng động cơ điện</t>
    </r>
  </si>
  <si>
    <r>
      <t>§</t>
    </r>
    <r>
      <rPr>
        <sz val="13"/>
        <color theme="1"/>
        <rFont val="Times New Roman"/>
        <family val="1"/>
      </rPr>
      <t xml:space="preserve">  Bơm chữa cháy sử dụng động cơ điện trọn bộ: </t>
    </r>
  </si>
  <si>
    <r>
      <t>§</t>
    </r>
    <r>
      <rPr>
        <sz val="13"/>
        <color theme="1"/>
        <rFont val="Times New Roman"/>
        <family val="1"/>
      </rPr>
      <t>  Gồm Bơm, mô tơ, tủ điều khiển</t>
    </r>
  </si>
  <si>
    <r>
      <t>§</t>
    </r>
    <r>
      <rPr>
        <sz val="13"/>
        <color theme="1"/>
        <rFont val="Times New Roman"/>
        <family val="1"/>
      </rPr>
      <t>  Loại bơm;</t>
    </r>
  </si>
  <si>
    <r>
      <t>§</t>
    </r>
    <r>
      <rPr>
        <sz val="13"/>
        <color theme="1"/>
        <rFont val="Times New Roman"/>
        <family val="1"/>
      </rPr>
      <t>  Mã bơm (Model/Type);</t>
    </r>
  </si>
  <si>
    <r>
      <t>§</t>
    </r>
    <r>
      <rPr>
        <sz val="13"/>
        <color theme="1"/>
        <rFont val="Times New Roman"/>
        <family val="1"/>
      </rPr>
      <t>  Số sơ ri (Serial No) của bơm;</t>
    </r>
  </si>
  <si>
    <r>
      <t>§</t>
    </r>
    <r>
      <rPr>
        <sz val="13"/>
        <color theme="1"/>
        <rFont val="Times New Roman"/>
        <family val="1"/>
      </rPr>
      <t>  Lưu lượng;</t>
    </r>
  </si>
  <si>
    <r>
      <t>§</t>
    </r>
    <r>
      <rPr>
        <sz val="13"/>
        <color theme="1"/>
        <rFont val="Times New Roman"/>
        <family val="1"/>
      </rPr>
      <t>  Áp lực tại 100% lưu lượng;</t>
    </r>
  </si>
  <si>
    <r>
      <t>§</t>
    </r>
    <r>
      <rPr>
        <sz val="13"/>
        <color theme="1"/>
        <rFont val="Times New Roman"/>
        <family val="1"/>
      </rPr>
      <t>  Áp lực tại 150% lưu lượng;</t>
    </r>
  </si>
  <si>
    <r>
      <t>§</t>
    </r>
    <r>
      <rPr>
        <sz val="13"/>
        <color theme="1"/>
        <rFont val="Times New Roman"/>
        <family val="1"/>
      </rPr>
      <t>  Áp lực lớn nhất tại điểm lưu lượng bằng 0;</t>
    </r>
  </si>
  <si>
    <r>
      <t>§</t>
    </r>
    <r>
      <rPr>
        <sz val="13"/>
        <color theme="1"/>
        <rFont val="Times New Roman"/>
        <family val="1"/>
      </rPr>
      <t>  Công suất động cơ yêu cầu lớn nhất;</t>
    </r>
  </si>
  <si>
    <r>
      <t>§</t>
    </r>
    <r>
      <rPr>
        <sz val="13"/>
        <color theme="1"/>
        <rFont val="Times New Roman"/>
        <family val="1"/>
      </rPr>
      <t>  Tốc độ vòng quay;</t>
    </r>
  </si>
  <si>
    <r>
      <t>§</t>
    </r>
    <r>
      <rPr>
        <sz val="13"/>
        <color theme="1"/>
        <rFont val="Times New Roman"/>
        <family val="1"/>
      </rPr>
      <t>  Nhà sản xuất;</t>
    </r>
  </si>
  <si>
    <r>
      <t>§</t>
    </r>
    <r>
      <rPr>
        <sz val="13"/>
        <color theme="1"/>
        <rFont val="Times New Roman"/>
        <family val="1"/>
      </rPr>
      <t>  Nơi sản xuất;</t>
    </r>
  </si>
  <si>
    <r>
      <t>§</t>
    </r>
    <r>
      <rPr>
        <sz val="13"/>
        <color theme="1"/>
        <rFont val="Times New Roman"/>
        <family val="1"/>
      </rPr>
      <t>  Năm sản suất.</t>
    </r>
  </si>
  <si>
    <t>b)            Máy bơm chữa cháy trọn bộ:</t>
  </si>
  <si>
    <r>
      <t>§</t>
    </r>
    <r>
      <rPr>
        <sz val="13"/>
        <color theme="1"/>
        <rFont val="Times New Roman"/>
        <family val="1"/>
      </rPr>
      <t>  Tiêu chuẩn áp dụng: QCVN-02: 2020/BCA hoặc NFPA 20.</t>
    </r>
  </si>
  <si>
    <r>
      <t>§</t>
    </r>
    <r>
      <rPr>
        <sz val="13"/>
        <color theme="1"/>
        <rFont val="Times New Roman"/>
        <family val="1"/>
      </rPr>
      <t>  Kiểu bơm: Bơm ly tâm trục ngang.</t>
    </r>
  </si>
  <si>
    <r>
      <t>§</t>
    </r>
    <r>
      <rPr>
        <sz val="13"/>
        <color theme="1"/>
        <rFont val="Times New Roman"/>
        <family val="1"/>
      </rPr>
      <t xml:space="preserve">  Lưu lượng: Q ≥ 45 m³/giờ </t>
    </r>
  </si>
  <si>
    <r>
      <t>§</t>
    </r>
    <r>
      <rPr>
        <sz val="13"/>
        <color theme="1"/>
        <rFont val="Times New Roman"/>
        <family val="1"/>
      </rPr>
      <t>  Cột áp: H ≥ 60 m cột nước.</t>
    </r>
  </si>
  <si>
    <r>
      <t>§</t>
    </r>
    <r>
      <rPr>
        <sz val="13"/>
        <color theme="1"/>
        <rFont val="Times New Roman"/>
        <family val="1"/>
      </rPr>
      <t>  Chủng loại bơm: Bơm ly tâm trục ngang lắp đứng loại vỏ sò 1 tầng cánh (Vertical split case centrifugal pump)</t>
    </r>
  </si>
  <si>
    <r>
      <t>§</t>
    </r>
    <r>
      <rPr>
        <sz val="13"/>
        <color theme="1"/>
        <rFont val="Times New Roman"/>
        <family val="1"/>
      </rPr>
      <t>  Tốc độ vòng quay: Tối đa khoảng 2950 vòng/phút.</t>
    </r>
  </si>
  <si>
    <r>
      <t>§</t>
    </r>
    <r>
      <rPr>
        <sz val="13"/>
        <color theme="1"/>
        <rFont val="Times New Roman"/>
        <family val="1"/>
      </rPr>
      <t>  Hiệu suất làm việc: ≥ 80%.</t>
    </r>
  </si>
  <si>
    <r>
      <t>§</t>
    </r>
    <r>
      <rPr>
        <sz val="13"/>
        <color theme="1"/>
        <rFont val="Times New Roman"/>
        <family val="1"/>
      </rPr>
      <t>  Vật liệu chế tạo:</t>
    </r>
  </si>
  <si>
    <r>
      <t>§</t>
    </r>
    <r>
      <rPr>
        <sz val="13"/>
        <color theme="1"/>
        <rFont val="Times New Roman"/>
        <family val="1"/>
      </rPr>
      <t>  Thân bơm: Gang ASTM A48 – minimum steel strength 35000 PSI.</t>
    </r>
  </si>
  <si>
    <r>
      <t>§</t>
    </r>
    <r>
      <rPr>
        <sz val="13"/>
        <color theme="1"/>
        <rFont val="Times New Roman"/>
        <family val="1"/>
      </rPr>
      <t>  Cánh tua bin: Đồng ASTM B584.</t>
    </r>
  </si>
  <si>
    <r>
      <t>§</t>
    </r>
    <r>
      <rPr>
        <sz val="13"/>
        <color theme="1"/>
        <rFont val="Times New Roman"/>
        <family val="1"/>
      </rPr>
      <t>  Trục bơm: Thép Các bon AISI C1045.</t>
    </r>
  </si>
  <si>
    <r>
      <t>§</t>
    </r>
    <r>
      <rPr>
        <sz val="13"/>
        <color theme="1"/>
        <rFont val="Times New Roman"/>
        <family val="1"/>
      </rPr>
      <t>  Phương thức làm kín trục: Phớt mềm (soft packed).</t>
    </r>
  </si>
  <si>
    <r>
      <t>§</t>
    </r>
    <r>
      <rPr>
        <sz val="13"/>
        <color theme="1"/>
        <rFont val="Times New Roman"/>
        <family val="1"/>
      </rPr>
      <t>  Bạc đạn: loại vòng bi, vòng bi đơn cho đầu trong và vòng bi đôi cho đầu ngoài. Tuổi thọ trung bình của bạc đạn là 250.000 giờ</t>
    </r>
  </si>
  <si>
    <r>
      <t>§</t>
    </r>
    <r>
      <rPr>
        <sz val="13"/>
        <color theme="1"/>
        <rFont val="Times New Roman"/>
        <family val="1"/>
      </rPr>
      <t>  Đặc điểm của đầu bơm: Đầu bơm có hai cửa hút, có thể bảo trì sửa chữa đầu bơm mà không cần tháo rời đường ống hút đẩy và động cơ.</t>
    </r>
  </si>
  <si>
    <r>
      <t>§</t>
    </r>
    <r>
      <rPr>
        <sz val="13"/>
        <color theme="1"/>
        <rFont val="Times New Roman"/>
        <family val="1"/>
      </rPr>
      <t>  Kích thước cửa hút 6”, cửa đẩy 5”. Tiêu chuẩn mặt bích ANSI 125.</t>
    </r>
  </si>
  <si>
    <r>
      <t>§</t>
    </r>
    <r>
      <rPr>
        <sz val="13"/>
        <color theme="1"/>
        <rFont val="Times New Roman"/>
        <family val="1"/>
      </rPr>
      <t>  Các phụ kiện kèm theo: Van xả khí tự động ½” đồng hồ đo áp suất cửa hút và cửa đẩy 3-1/2”, van xả áp tự động ¾”.</t>
    </r>
  </si>
  <si>
    <r>
      <t>§</t>
    </r>
    <r>
      <rPr>
        <sz val="13"/>
        <color theme="1"/>
        <rFont val="Times New Roman"/>
        <family val="1"/>
      </rPr>
      <t>  Nhà thầu hệ thống chữa cháy chịu trách nhiệm đảm bảo bơm hoạt động tốt và đáp ứng yêu cầu của các cơ quan chức năng;</t>
    </r>
  </si>
  <si>
    <r>
      <t>§</t>
    </r>
    <r>
      <rPr>
        <sz val="13"/>
        <color theme="1"/>
        <rFont val="Times New Roman"/>
        <family val="1"/>
      </rPr>
      <t>  Bơm chữa cháy phải được chủ đầu tư phê duyệt, và đảm bảo đáp ứng đứng thông số bơm đã được duyệt;</t>
    </r>
  </si>
  <si>
    <r>
      <t>§</t>
    </r>
    <r>
      <rPr>
        <sz val="13"/>
        <color theme="1"/>
        <rFont val="Times New Roman"/>
        <family val="1"/>
      </rPr>
      <t>  Catalog kèm theo.</t>
    </r>
  </si>
  <si>
    <t>c)            Động cơ điện:</t>
  </si>
  <si>
    <r>
      <t>§</t>
    </r>
    <r>
      <rPr>
        <sz val="13"/>
        <color theme="1"/>
        <rFont val="Times New Roman"/>
        <family val="1"/>
      </rPr>
      <t>  Tiêu chuẩn áp dụng: (NEMA) design B, QCVN-02: 2020/BCA hoặc NFPA 20.</t>
    </r>
  </si>
  <si>
    <r>
      <t>§</t>
    </r>
    <r>
      <rPr>
        <sz val="13"/>
        <color theme="1"/>
        <rFont val="Times New Roman"/>
        <family val="1"/>
      </rPr>
      <t>   Kiểu động cơ: Chuyên dùng cho bơm chữa cháy class F với hệ số an toàn 1.15.</t>
    </r>
  </si>
  <si>
    <r>
      <t>§</t>
    </r>
    <r>
      <rPr>
        <sz val="13"/>
        <color theme="1"/>
        <rFont val="Times New Roman"/>
        <family val="1"/>
      </rPr>
      <t>  Công suất: P ≥ 15 kW.</t>
    </r>
  </si>
  <si>
    <r>
      <t>§</t>
    </r>
    <r>
      <rPr>
        <sz val="13"/>
        <color theme="1"/>
        <rFont val="Times New Roman"/>
        <family val="1"/>
      </rPr>
      <t>  Chế độ khởi động: Khởi động Y/∆ hoặc khởi động bằng bộ hạn chế dòng điện khởi động do nhà sản xuất tủ chế tạo, đảm bảo khởi động động cơ từ nguồn điện do MBA tự dùng của trạm cung cấp.</t>
    </r>
  </si>
  <si>
    <r>
      <t>§</t>
    </r>
    <r>
      <rPr>
        <sz val="13"/>
        <color theme="1"/>
        <rFont val="Times New Roman"/>
        <family val="1"/>
      </rPr>
      <t xml:space="preserve">  Nguồn điện cung cấp: 380V AC/3phase/50Hz </t>
    </r>
  </si>
  <si>
    <r>
      <t>§</t>
    </r>
    <r>
      <rPr>
        <sz val="13"/>
        <color theme="1"/>
        <rFont val="Times New Roman"/>
        <family val="1"/>
      </rPr>
      <t>  Dòng điện: Dòng điện của bơm không vượt quá 115% dòng điện làm việc ở chế độ đủ tải trong trường hợp không cân phase hoặc đặt tải.</t>
    </r>
  </si>
  <si>
    <t>d)            Tủ điều khiển bơm điện:</t>
  </si>
  <si>
    <r>
      <t>§</t>
    </r>
    <r>
      <rPr>
        <sz val="13"/>
        <color theme="1"/>
        <rFont val="Times New Roman"/>
        <family val="1"/>
      </rPr>
      <t>  Tiêu chuẩn áp dụng: (NEMA) 2, QCVN-02: 2020/BCA hoặc NFPA 20.</t>
    </r>
  </si>
  <si>
    <r>
      <t>§</t>
    </r>
    <r>
      <rPr>
        <sz val="13"/>
        <color theme="1"/>
        <rFont val="Times New Roman"/>
        <family val="1"/>
      </rPr>
      <t>  Cách thức khởi động động cơ: Sao tam giác.</t>
    </r>
  </si>
  <si>
    <r>
      <t>§</t>
    </r>
    <r>
      <rPr>
        <sz val="13"/>
        <color theme="1"/>
        <rFont val="Times New Roman"/>
        <family val="1"/>
      </rPr>
      <t>  Chế độ khởi động:</t>
    </r>
  </si>
  <si>
    <r>
      <t>§</t>
    </r>
    <r>
      <rPr>
        <sz val="13"/>
        <color theme="1"/>
        <rFont val="Times New Roman"/>
        <family val="1"/>
      </rPr>
      <t xml:space="preserve">  Chế độ tự động: Điều khiển tại chỗ hoặc từ xa (bằng tín hiệu từ công tắc áp lực, hay tín hiệu khởi động từ xa như nút ấn, tín hiệu từ hệ thống báo cháy). </t>
    </r>
  </si>
  <si>
    <r>
      <t>§</t>
    </r>
    <r>
      <rPr>
        <sz val="13"/>
        <color theme="1"/>
        <rFont val="Times New Roman"/>
        <family val="1"/>
      </rPr>
      <t>  Khởi động trường hợp khẩn cấp: EMERGENCY START.</t>
    </r>
  </si>
  <si>
    <r>
      <t>§</t>
    </r>
    <r>
      <rPr>
        <sz val="13"/>
        <color theme="1"/>
        <rFont val="Times New Roman"/>
        <family val="1"/>
      </rPr>
      <t>  Màn hình hiển thị LCD:</t>
    </r>
  </si>
  <si>
    <r>
      <t>§</t>
    </r>
    <r>
      <rPr>
        <sz val="13"/>
        <color theme="1"/>
        <rFont val="Times New Roman"/>
        <family val="1"/>
      </rPr>
      <t>  Áp lực hệ thống.</t>
    </r>
  </si>
  <si>
    <r>
      <t>§</t>
    </r>
    <r>
      <rPr>
        <sz val="13"/>
        <color theme="1"/>
        <rFont val="Times New Roman"/>
        <family val="1"/>
      </rPr>
      <t>  Thời gian &amp; ngày.</t>
    </r>
  </si>
  <si>
    <r>
      <t>§</t>
    </r>
    <r>
      <rPr>
        <sz val="13"/>
        <color theme="1"/>
        <rFont val="Times New Roman"/>
        <family val="1"/>
      </rPr>
      <t>  Điện áp nguồn &amp; ampere.</t>
    </r>
  </si>
  <si>
    <r>
      <t>§</t>
    </r>
    <r>
      <rPr>
        <sz val="13"/>
        <color theme="1"/>
        <rFont val="Times New Roman"/>
        <family val="1"/>
      </rPr>
      <t>  Tần số hoạt động.</t>
    </r>
  </si>
  <si>
    <r>
      <t>§</t>
    </r>
    <r>
      <rPr>
        <sz val="13"/>
        <color theme="1"/>
        <rFont val="Times New Roman"/>
        <family val="1"/>
      </rPr>
      <t>  Các cảnh báo và thông báo khác.</t>
    </r>
  </si>
  <si>
    <r>
      <t>§</t>
    </r>
    <r>
      <rPr>
        <sz val="13"/>
        <color theme="1"/>
        <rFont val="Times New Roman"/>
        <family val="1"/>
      </rPr>
      <t>  Báo động:</t>
    </r>
  </si>
  <si>
    <r>
      <t>§</t>
    </r>
    <r>
      <rPr>
        <sz val="13"/>
        <color theme="1"/>
        <rFont val="Times New Roman"/>
        <family val="1"/>
      </rPr>
      <t>  Chuông khi bơm đang trong tình trạng có sự cố</t>
    </r>
  </si>
  <si>
    <r>
      <t>§</t>
    </r>
    <r>
      <rPr>
        <sz val="13"/>
        <color theme="1"/>
        <rFont val="Times New Roman"/>
        <family val="1"/>
      </rPr>
      <t>  Đèn LED hiển thị các tình trạng sau:</t>
    </r>
  </si>
  <si>
    <r>
      <t>§</t>
    </r>
    <r>
      <rPr>
        <sz val="13"/>
        <color theme="1"/>
        <rFont val="Times New Roman"/>
        <family val="1"/>
      </rPr>
      <t>  Tín hiệu power on</t>
    </r>
  </si>
  <si>
    <r>
      <t>§</t>
    </r>
    <r>
      <rPr>
        <sz val="13"/>
        <color theme="1"/>
        <rFont val="Times New Roman"/>
        <family val="1"/>
      </rPr>
      <t>  Tín hiệu bơm hoạt động.</t>
    </r>
  </si>
  <si>
    <r>
      <t>§</t>
    </r>
    <r>
      <rPr>
        <sz val="13"/>
        <color theme="1"/>
        <rFont val="Times New Roman"/>
        <family val="1"/>
      </rPr>
      <t>  Tín hiệu bơm khởi động</t>
    </r>
  </si>
  <si>
    <r>
      <t>§</t>
    </r>
    <r>
      <rPr>
        <sz val="13"/>
        <color theme="1"/>
        <rFont val="Times New Roman"/>
        <family val="1"/>
      </rPr>
      <t>  Tín hiệu bơm khởi động từ xa</t>
    </r>
  </si>
  <si>
    <r>
      <t>§</t>
    </r>
    <r>
      <rPr>
        <sz val="13"/>
        <color theme="1"/>
        <rFont val="Times New Roman"/>
        <family val="1"/>
      </rPr>
      <t>  Tín hiệu khởi động khẩn cấp</t>
    </r>
  </si>
  <si>
    <r>
      <t>§</t>
    </r>
    <r>
      <rPr>
        <sz val="13"/>
        <color theme="1"/>
        <rFont val="Times New Roman"/>
        <family val="1"/>
      </rPr>
      <t>  Tín hiệu deluge valve</t>
    </r>
  </si>
  <si>
    <r>
      <t>§</t>
    </r>
    <r>
      <rPr>
        <sz val="13"/>
        <color theme="1"/>
        <rFont val="Times New Roman"/>
        <family val="1"/>
      </rPr>
      <t>  Tín hiệu Interlock on</t>
    </r>
  </si>
  <si>
    <r>
      <t>§</t>
    </r>
    <r>
      <rPr>
        <sz val="13"/>
        <color theme="1"/>
        <rFont val="Times New Roman"/>
        <family val="1"/>
      </rPr>
      <t>  Tín hiệu Áp lực hệ thống thấp</t>
    </r>
  </si>
  <si>
    <r>
      <t>§</t>
    </r>
    <r>
      <rPr>
        <sz val="13"/>
        <color theme="1"/>
        <rFont val="Times New Roman"/>
        <family val="1"/>
      </rPr>
      <t>  Tín hiệu tự động dừng bơm</t>
    </r>
  </si>
  <si>
    <r>
      <t>§</t>
    </r>
    <r>
      <rPr>
        <sz val="13"/>
        <color theme="1"/>
        <rFont val="Times New Roman"/>
        <family val="1"/>
      </rPr>
      <t>  Tín hiệu lệch pha</t>
    </r>
  </si>
  <si>
    <r>
      <t>§</t>
    </r>
    <r>
      <rPr>
        <sz val="13"/>
        <color theme="1"/>
        <rFont val="Times New Roman"/>
        <family val="1"/>
      </rPr>
      <t>  Tín hiệu lỗi pha</t>
    </r>
  </si>
  <si>
    <r>
      <t>§</t>
    </r>
    <r>
      <rPr>
        <sz val="13"/>
        <color theme="1"/>
        <rFont val="Times New Roman"/>
        <family val="1"/>
      </rPr>
      <t>  Tín hiệu lỗi khởi động</t>
    </r>
  </si>
  <si>
    <r>
      <t>§</t>
    </r>
    <r>
      <rPr>
        <sz val="13"/>
        <color theme="1"/>
        <rFont val="Times New Roman"/>
        <family val="1"/>
      </rPr>
      <t>  Tín hiệu điện áp cao</t>
    </r>
  </si>
  <si>
    <r>
      <t>§</t>
    </r>
    <r>
      <rPr>
        <sz val="13"/>
        <color theme="1"/>
        <rFont val="Times New Roman"/>
        <family val="1"/>
      </rPr>
      <t>  Tín hiệu điện áp thấp.</t>
    </r>
  </si>
  <si>
    <r>
      <t>§</t>
    </r>
    <r>
      <rPr>
        <sz val="13"/>
        <color theme="1"/>
        <rFont val="Times New Roman"/>
        <family val="1"/>
      </rPr>
      <t>  Tín hiệu khóa rotor</t>
    </r>
  </si>
  <si>
    <r>
      <t>§</t>
    </r>
    <r>
      <rPr>
        <sz val="13"/>
        <color theme="1"/>
        <rFont val="Times New Roman"/>
        <family val="1"/>
      </rPr>
      <t>  Tín hiệu áp lực hút thấp</t>
    </r>
  </si>
  <si>
    <r>
      <t>§</t>
    </r>
    <r>
      <rPr>
        <sz val="13"/>
        <color theme="1"/>
        <rFont val="Times New Roman"/>
        <family val="1"/>
      </rPr>
      <t>  Tín hiệu nguồn 2 không kết nối</t>
    </r>
  </si>
  <si>
    <r>
      <t>§</t>
    </r>
    <r>
      <rPr>
        <sz val="13"/>
        <color theme="1"/>
        <rFont val="Times New Roman"/>
        <family val="1"/>
      </rPr>
      <t>  Hiển thị lập trình LED 1 &amp; 2</t>
    </r>
  </si>
  <si>
    <r>
      <t>§</t>
    </r>
    <r>
      <rPr>
        <sz val="13"/>
        <color theme="1"/>
        <rFont val="Times New Roman"/>
        <family val="1"/>
      </rPr>
      <t>  Phụ kiện kèm theo:</t>
    </r>
  </si>
  <si>
    <r>
      <t>§</t>
    </r>
    <r>
      <rPr>
        <sz val="13"/>
        <color theme="1"/>
        <rFont val="Times New Roman"/>
        <family val="1"/>
      </rPr>
      <t>  Cảm biến áp lực được lắp đặt trong tủ điều khiển.</t>
    </r>
  </si>
  <si>
    <r>
      <t>§</t>
    </r>
    <r>
      <rPr>
        <sz val="13"/>
        <color theme="1"/>
        <rFont val="Times New Roman"/>
        <family val="1"/>
      </rPr>
      <t>  Chức năng bảo trì: Tự động chạy thử bơm hàng tuần theo lịch trình đã chọn được lập trình trước.</t>
    </r>
  </si>
  <si>
    <t>a)            Bơm chữa cháy động cơ diesel trọn bộ:</t>
  </si>
  <si>
    <r>
      <t>§</t>
    </r>
    <r>
      <rPr>
        <sz val="13"/>
        <color theme="1"/>
        <rFont val="Times New Roman"/>
        <family val="1"/>
      </rPr>
      <t>  Bơm chữa cháy động cơ diesel trọn bộ: Gồm Bơm, Động cơ Diesel, tủ điều khiển</t>
    </r>
  </si>
  <si>
    <r>
      <t>§</t>
    </r>
    <r>
      <rPr>
        <sz val="13"/>
        <color theme="1"/>
        <rFont val="Times New Roman"/>
        <family val="1"/>
      </rPr>
      <t>  Các bơm nước chữa cháy phải đóng nhãn trên vỏ bơm theo quy định hiện hành và trong đó thể hiện các thông số kỹ thuật cơ bản như sau:</t>
    </r>
  </si>
  <si>
    <t>b)            Bơm:</t>
  </si>
  <si>
    <r>
      <t>§</t>
    </r>
    <r>
      <rPr>
        <sz val="13"/>
        <color theme="1"/>
        <rFont val="Times New Roman"/>
        <family val="1"/>
      </rPr>
      <t xml:space="preserve">  Cột áp: H ≥ 60 m cột nước. </t>
    </r>
  </si>
  <si>
    <r>
      <t>§</t>
    </r>
    <r>
      <rPr>
        <sz val="13"/>
        <color theme="1"/>
        <rFont val="Times New Roman"/>
        <family val="1"/>
      </rPr>
      <t>  Chủng loại bơm: Bơm ly tâm trục ngang loại vỏ sò 1 tầng cánh (Horizontal split case centrifugal pump)</t>
    </r>
  </si>
  <si>
    <r>
      <t>§</t>
    </r>
    <r>
      <rPr>
        <sz val="13"/>
        <color theme="1"/>
        <rFont val="Times New Roman"/>
        <family val="1"/>
      </rPr>
      <t>  Hiệu suất làm việc: ≥ 80%</t>
    </r>
  </si>
  <si>
    <r>
      <t>§</t>
    </r>
    <r>
      <rPr>
        <sz val="13"/>
        <color theme="1"/>
        <rFont val="Times New Roman"/>
        <family val="1"/>
      </rPr>
      <t>  Đặc điểm của bơm: Đầu bơm có hai cửa hút, có thể bảo trì sửa chữa đầu bơm mà không cần tháo rời đường ống hút đẩy và động cơ.</t>
    </r>
  </si>
  <si>
    <r>
      <t>§</t>
    </r>
    <r>
      <rPr>
        <sz val="13"/>
        <color theme="1"/>
        <rFont val="Times New Roman"/>
        <family val="1"/>
      </rPr>
      <t>  Các phụ kiện kèm theo: Van xả khí tự động ½”, đồng hồ đo áp suất cửa hút và cửa đẩy 3-1/2”, Van xả áp kích cỡ 4”x4” ; Đầu xả của van xả áp kích cỡ4”x8” ; Đồng hồ đo lưu lượngkích cỡ 6”</t>
    </r>
  </si>
  <si>
    <t>c)            Động cơ DIESEL:</t>
  </si>
  <si>
    <r>
      <t>§</t>
    </r>
    <r>
      <rPr>
        <sz val="13"/>
        <color theme="1"/>
        <rFont val="Times New Roman"/>
        <family val="1"/>
      </rPr>
      <t>  Kiểu bơm: Bơm được dẫn động bằng động cơ Diesel chuyên dùng cho bơm chữa cháy.</t>
    </r>
  </si>
  <si>
    <r>
      <t>§</t>
    </r>
    <r>
      <rPr>
        <sz val="13"/>
        <color theme="1"/>
        <rFont val="Times New Roman"/>
        <family val="1"/>
      </rPr>
      <t>  Công suất: P &gt; 15 kW.</t>
    </r>
  </si>
  <si>
    <r>
      <t>§</t>
    </r>
    <r>
      <rPr>
        <sz val="13"/>
        <color theme="1"/>
        <rFont val="Times New Roman"/>
        <family val="1"/>
      </rPr>
      <t>  Tốc độ vòng quay: Tối đa khoảng 3000 vòng/phút.</t>
    </r>
  </si>
  <si>
    <r>
      <t>§</t>
    </r>
    <r>
      <rPr>
        <sz val="13"/>
        <color theme="1"/>
        <rFont val="Times New Roman"/>
        <family val="1"/>
      </rPr>
      <t>  Kiểu: Diesel 4 thì, hệ thống làm mát bằng trao đổi nhiệt chuyên dùng cho bơm chữa cháy.</t>
    </r>
  </si>
  <si>
    <r>
      <t>§</t>
    </r>
    <r>
      <rPr>
        <sz val="13"/>
        <color theme="1"/>
        <rFont val="Times New Roman"/>
        <family val="1"/>
      </rPr>
      <t>  Điện điều khiển 2 nguồn acquy: 12 VDC.</t>
    </r>
  </si>
  <si>
    <r>
      <t>§</t>
    </r>
    <r>
      <rPr>
        <sz val="13"/>
        <color theme="1"/>
        <rFont val="Times New Roman"/>
        <family val="1"/>
      </rPr>
      <t>  Điện áp khởi động: 220 V/1ph/50hz.</t>
    </r>
  </si>
  <si>
    <r>
      <t>§</t>
    </r>
    <r>
      <rPr>
        <sz val="13"/>
        <color theme="1"/>
        <rFont val="Times New Roman"/>
        <family val="1"/>
      </rPr>
      <t>  Bảng điều khiển động cơ: Có các đồng hồ hiển thị tốc độ quay động cơ, thời gian hoạt động của động cơ, nhiệt độ nước làm mát, vôn kế.</t>
    </r>
  </si>
  <si>
    <r>
      <t>§</t>
    </r>
    <r>
      <rPr>
        <sz val="13"/>
        <color theme="1"/>
        <rFont val="Times New Roman"/>
        <family val="1"/>
      </rPr>
      <t xml:space="preserve">  Các phụ kiện lắp đặt cùng động cơ: </t>
    </r>
  </si>
  <si>
    <r>
      <t>§</t>
    </r>
    <r>
      <rPr>
        <sz val="13"/>
        <color theme="1"/>
        <rFont val="Times New Roman"/>
        <family val="1"/>
      </rPr>
      <t>  Acquy khởi động.</t>
    </r>
  </si>
  <si>
    <r>
      <t>§</t>
    </r>
    <r>
      <rPr>
        <sz val="13"/>
        <color theme="1"/>
        <rFont val="Times New Roman"/>
        <family val="1"/>
      </rPr>
      <t>  Giá đỡ acquy.</t>
    </r>
  </si>
  <si>
    <r>
      <t>§</t>
    </r>
    <r>
      <rPr>
        <sz val="13"/>
        <color theme="1"/>
        <rFont val="Times New Roman"/>
        <family val="1"/>
      </rPr>
      <t>  Thiết bị giảm thanh cho động cơ cửa vào-ra.</t>
    </r>
  </si>
  <si>
    <r>
      <t>§</t>
    </r>
    <r>
      <rPr>
        <sz val="13"/>
        <color theme="1"/>
        <rFont val="Times New Roman"/>
        <family val="1"/>
      </rPr>
      <t>  Khớp nối thép không gỉ.</t>
    </r>
  </si>
  <si>
    <r>
      <t>§</t>
    </r>
    <r>
      <rPr>
        <sz val="13"/>
        <color theme="1"/>
        <rFont val="Times New Roman"/>
        <family val="1"/>
      </rPr>
      <t>  Bồn dầu 165 galon và phụ kiện đi kèm</t>
    </r>
  </si>
  <si>
    <t>d)            Tủ điều khiển:</t>
  </si>
  <si>
    <r>
      <t>§</t>
    </r>
    <r>
      <rPr>
        <sz val="13"/>
        <color theme="1"/>
        <rFont val="Times New Roman"/>
        <family val="1"/>
      </rPr>
      <t xml:space="preserve">  Cách thức khởi động động cơ: </t>
    </r>
  </si>
  <si>
    <r>
      <t>§</t>
    </r>
    <r>
      <rPr>
        <sz val="13"/>
        <color theme="1"/>
        <rFont val="Times New Roman"/>
        <family val="1"/>
      </rPr>
      <t xml:space="preserve">  Chế độ tự động: Bằng việc nhận tín hịêu từ công tắc áp lực, hay tín hiệu khởi động từ xa như nút ấn, tín hiệu từ hệ thống báo cháy. </t>
    </r>
  </si>
  <si>
    <r>
      <t>§</t>
    </r>
    <r>
      <rPr>
        <sz val="13"/>
        <color theme="1"/>
        <rFont val="Times New Roman"/>
        <family val="1"/>
      </rPr>
      <t>  Chế độ khởi động bằng tay: Ấn nút Start trên tủ.</t>
    </r>
  </si>
  <si>
    <r>
      <t>§</t>
    </r>
    <r>
      <rPr>
        <sz val="13"/>
        <color theme="1"/>
        <rFont val="Times New Roman"/>
        <family val="1"/>
      </rPr>
      <t>  Chỉ thị các thông số của hệ thống: Đèn báo tình trạng:</t>
    </r>
  </si>
  <si>
    <r>
      <t>§</t>
    </r>
    <r>
      <rPr>
        <sz val="13"/>
        <color theme="1"/>
        <rFont val="Times New Roman"/>
        <family val="1"/>
      </rPr>
      <t>  Tình trạng sạc.</t>
    </r>
  </si>
  <si>
    <r>
      <t>§</t>
    </r>
    <r>
      <rPr>
        <sz val="13"/>
        <color theme="1"/>
        <rFont val="Times New Roman"/>
        <family val="1"/>
      </rPr>
      <t>  Dòng điện sạc ắc quy.</t>
    </r>
  </si>
  <si>
    <r>
      <t>§</t>
    </r>
    <r>
      <rPr>
        <sz val="13"/>
        <color theme="1"/>
        <rFont val="Times New Roman"/>
        <family val="1"/>
      </rPr>
      <t>  Điện áp ắc quy</t>
    </r>
  </si>
  <si>
    <r>
      <t>§</t>
    </r>
    <r>
      <rPr>
        <sz val="13"/>
        <color theme="1"/>
        <rFont val="Times New Roman"/>
        <family val="1"/>
      </rPr>
      <t>  Hiển thị:</t>
    </r>
  </si>
  <si>
    <r>
      <t>§</t>
    </r>
    <r>
      <rPr>
        <sz val="13"/>
        <color theme="1"/>
        <rFont val="Times New Roman"/>
        <family val="1"/>
      </rPr>
      <t>  Lỗi áp suất dầu thấp.</t>
    </r>
  </si>
  <si>
    <r>
      <t>§</t>
    </r>
    <r>
      <rPr>
        <sz val="13"/>
        <color theme="1"/>
        <rFont val="Times New Roman"/>
        <family val="1"/>
      </rPr>
      <t>   Lỗi nhiệt độ động cơ cao.</t>
    </r>
  </si>
  <si>
    <r>
      <t>§</t>
    </r>
    <r>
      <rPr>
        <sz val="13"/>
        <color theme="1"/>
        <rFont val="Times New Roman"/>
        <family val="1"/>
      </rPr>
      <t>   Lỗi khởi động</t>
    </r>
  </si>
  <si>
    <r>
      <t>§</t>
    </r>
    <r>
      <rPr>
        <sz val="13"/>
        <color theme="1"/>
        <rFont val="Times New Roman"/>
        <family val="1"/>
      </rPr>
      <t>   Bình acquy #1 &amp; 2 lỗi</t>
    </r>
  </si>
  <si>
    <r>
      <t>§</t>
    </r>
    <r>
      <rPr>
        <sz val="13"/>
        <color theme="1"/>
        <rFont val="Times New Roman"/>
        <family val="1"/>
      </rPr>
      <t>  Bộ sạc bình acquy #1 &amp; 2 lỗi</t>
    </r>
  </si>
  <si>
    <r>
      <t>§</t>
    </r>
    <r>
      <rPr>
        <sz val="13"/>
        <color theme="1"/>
        <rFont val="Times New Roman"/>
        <family val="1"/>
      </rPr>
      <t xml:space="preserve">  Lỗi động cơ quá tốc độ </t>
    </r>
  </si>
  <si>
    <r>
      <t>§</t>
    </r>
    <r>
      <rPr>
        <sz val="13"/>
        <color theme="1"/>
        <rFont val="Times New Roman"/>
        <family val="1"/>
      </rPr>
      <t>  Mức dầu cao/ thấp</t>
    </r>
  </si>
  <si>
    <r>
      <t>§</t>
    </r>
    <r>
      <rPr>
        <sz val="13"/>
        <color theme="1"/>
        <rFont val="Times New Roman"/>
        <family val="1"/>
      </rPr>
      <t>   Lỗi vận hành</t>
    </r>
  </si>
  <si>
    <r>
      <t>§</t>
    </r>
    <r>
      <rPr>
        <sz val="13"/>
        <color theme="1"/>
        <rFont val="Times New Roman"/>
        <family val="1"/>
      </rPr>
      <t xml:space="preserve">  Chuông khi bơm đang trong tình trạng có sự cố. </t>
    </r>
  </si>
  <si>
    <r>
      <t>§</t>
    </r>
    <r>
      <rPr>
        <sz val="13"/>
        <color theme="1"/>
        <rFont val="Times New Roman"/>
        <family val="1"/>
      </rPr>
      <t>  Phát tín hiệu bơm hoạt động.</t>
    </r>
  </si>
  <si>
    <r>
      <t>§</t>
    </r>
    <r>
      <rPr>
        <sz val="13"/>
        <color theme="1"/>
        <rFont val="Times New Roman"/>
        <family val="1"/>
      </rPr>
      <t>  Phát tín hiệu bơm dừng.</t>
    </r>
  </si>
  <si>
    <r>
      <t>§</t>
    </r>
    <r>
      <rPr>
        <sz val="13"/>
        <color theme="1"/>
        <rFont val="Times New Roman"/>
        <family val="1"/>
      </rPr>
      <t>  Phát tín hiệu lỗi.</t>
    </r>
  </si>
  <si>
    <r>
      <t>§</t>
    </r>
    <r>
      <rPr>
        <sz val="13"/>
        <color theme="1"/>
        <rFont val="Times New Roman"/>
        <family val="1"/>
      </rPr>
      <t>  Phụ kiện kèm theo: Cảm biến áp lực được lắp đặt trong tủ điều khiển.</t>
    </r>
  </si>
  <si>
    <t>a)            Bơm duy trì áp lực (bơm bù áp):</t>
  </si>
  <si>
    <r>
      <t>§</t>
    </r>
    <r>
      <rPr>
        <sz val="13"/>
        <color theme="1"/>
        <rFont val="Times New Roman"/>
        <family val="1"/>
      </rPr>
      <t>  Áp lực tối đa;</t>
    </r>
  </si>
  <si>
    <r>
      <t>§</t>
    </r>
    <r>
      <rPr>
        <sz val="13"/>
        <color theme="1"/>
        <rFont val="Times New Roman"/>
        <family val="1"/>
      </rPr>
      <t>  Máy bơm: bơm ly tâm trục đứng nhiều tầng cánh.</t>
    </r>
  </si>
  <si>
    <r>
      <t>§</t>
    </r>
    <r>
      <rPr>
        <sz val="13"/>
        <color theme="1"/>
        <rFont val="Times New Roman"/>
        <family val="1"/>
      </rPr>
      <t>  Lưu lượng: Q ≥ 2 m³/giờ</t>
    </r>
  </si>
  <si>
    <r>
      <t>§</t>
    </r>
    <r>
      <rPr>
        <sz val="13"/>
        <color theme="1"/>
        <rFont val="Times New Roman"/>
        <family val="1"/>
      </rPr>
      <t>  Cột áp: H ≥ 65 m cột nước;</t>
    </r>
  </si>
  <si>
    <r>
      <t>§</t>
    </r>
    <r>
      <rPr>
        <sz val="13"/>
        <color theme="1"/>
        <rFont val="Times New Roman"/>
        <family val="1"/>
      </rPr>
      <t>  Công suất mô tơ: P ≥ 1.5 kW</t>
    </r>
  </si>
  <si>
    <r>
      <t>§</t>
    </r>
    <r>
      <rPr>
        <sz val="13"/>
        <color theme="1"/>
        <rFont val="Times New Roman"/>
        <family val="1"/>
      </rPr>
      <t>  Tốc độ vòng quay: Khoảng 3000 vòng/phút.</t>
    </r>
  </si>
  <si>
    <r>
      <t>§</t>
    </r>
    <r>
      <rPr>
        <sz val="13"/>
        <color theme="1"/>
        <rFont val="Times New Roman"/>
        <family val="1"/>
      </rPr>
      <t>  Công suất: Đáp ứng yêu cầu lưu lượng và cột áp.</t>
    </r>
  </si>
  <si>
    <r>
      <t>§</t>
    </r>
    <r>
      <rPr>
        <sz val="13"/>
        <color theme="1"/>
        <rFont val="Times New Roman"/>
        <family val="1"/>
      </rPr>
      <t>  Nguồn điện: 3pha/380VAC/50Hz.</t>
    </r>
  </si>
  <si>
    <r>
      <t>§</t>
    </r>
    <r>
      <rPr>
        <sz val="13"/>
        <color theme="1"/>
        <rFont val="Times New Roman"/>
        <family val="1"/>
      </rPr>
      <t>  Vật liệu chế tạo thân bơm: gang; cách tua bin: thép không gỉ; trục bơm: thép không gỉ; buồng bơm: thép không gỉ.</t>
    </r>
  </si>
  <si>
    <r>
      <t>§</t>
    </r>
    <r>
      <rPr>
        <sz val="13"/>
        <color theme="1"/>
        <rFont val="Times New Roman"/>
        <family val="1"/>
      </rPr>
      <t xml:space="preserve">  Các phụ kiện kèm theo: đồng hồ đo áp suất cửa hút và cửa đẩy 3-1/2”, van xả áp tự động ½”, </t>
    </r>
  </si>
  <si>
    <t>c)            Tủ điều khiển:</t>
  </si>
  <si>
    <r>
      <t>§</t>
    </r>
    <r>
      <rPr>
        <sz val="13"/>
        <color theme="1"/>
        <rFont val="Times New Roman"/>
        <family val="1"/>
      </rPr>
      <t>  Phương thức khởi động: trực tiếp</t>
    </r>
  </si>
  <si>
    <r>
      <t>§</t>
    </r>
    <r>
      <rPr>
        <sz val="13"/>
        <color theme="1"/>
        <rFont val="Times New Roman"/>
        <family val="1"/>
      </rPr>
      <t>  Cách thức khởi động động cơ:</t>
    </r>
  </si>
  <si>
    <r>
      <t>§</t>
    </r>
    <r>
      <rPr>
        <sz val="13"/>
        <color theme="1"/>
        <rFont val="Times New Roman"/>
        <family val="1"/>
      </rPr>
      <t>  Chế độ tự động: bằng việc nhận tín hiệu từ công tắc áp lực.</t>
    </r>
  </si>
  <si>
    <r>
      <t>§</t>
    </r>
    <r>
      <rPr>
        <sz val="13"/>
        <color theme="1"/>
        <rFont val="Times New Roman"/>
        <family val="1"/>
      </rPr>
      <t>  Điện áp nguồn.</t>
    </r>
  </si>
  <si>
    <r>
      <t>§</t>
    </r>
    <r>
      <rPr>
        <sz val="13"/>
        <color theme="1"/>
        <rFont val="Times New Roman"/>
        <family val="1"/>
      </rPr>
      <t>  Dòng điện làm việc của 3 pha.</t>
    </r>
  </si>
  <si>
    <r>
      <t>§</t>
    </r>
    <r>
      <rPr>
        <sz val="13"/>
        <color theme="1"/>
        <rFont val="Times New Roman"/>
        <family val="1"/>
      </rPr>
      <t>  Tình trạng bơm: hoạt động, dừng, lỗi hệ thống nguồn cấp, lỗi quá tải.</t>
    </r>
  </si>
  <si>
    <r>
      <t>§</t>
    </r>
    <r>
      <rPr>
        <sz val="13"/>
        <color theme="1"/>
        <rFont val="Times New Roman"/>
        <family val="1"/>
      </rPr>
      <t>  Lưu lượng: 600 lít/phút ở áp lực 40m.</t>
    </r>
  </si>
  <si>
    <r>
      <t>§</t>
    </r>
    <r>
      <rPr>
        <sz val="13"/>
        <color theme="1"/>
        <rFont val="Times New Roman"/>
        <family val="1"/>
      </rPr>
      <t>  Kích cỡ: D65</t>
    </r>
  </si>
  <si>
    <r>
      <t>§</t>
    </r>
    <r>
      <rPr>
        <sz val="13"/>
        <color theme="1"/>
        <rFont val="Times New Roman"/>
        <family val="1"/>
      </rPr>
      <t>  Đường kính miệng lăng: 22mm</t>
    </r>
  </si>
  <si>
    <r>
      <t>§</t>
    </r>
    <r>
      <rPr>
        <sz val="13"/>
        <color theme="1"/>
        <rFont val="Times New Roman"/>
        <family val="1"/>
      </rPr>
      <t>  Độ phun xa: 20m ở áp lực 40m.</t>
    </r>
  </si>
  <si>
    <r>
      <t>§</t>
    </r>
    <r>
      <rPr>
        <sz val="13"/>
        <color theme="1"/>
        <rFont val="Times New Roman"/>
        <family val="1"/>
      </rPr>
      <t>  Vật liệu chế tạo: hợp kim nhôm</t>
    </r>
  </si>
  <si>
    <r>
      <t>§</t>
    </r>
    <r>
      <rPr>
        <sz val="13"/>
        <color theme="1"/>
        <rFont val="Times New Roman"/>
        <family val="1"/>
      </rPr>
      <t>  Phụ kiện kèm theo: khớp nối nhanh</t>
    </r>
  </si>
  <si>
    <r>
      <t>§</t>
    </r>
    <r>
      <rPr>
        <sz val="13"/>
        <color theme="1"/>
        <rFont val="Times New Roman"/>
        <family val="1"/>
      </rPr>
      <t>  Áp lực làm việc 16 kg/cm²</t>
    </r>
  </si>
  <si>
    <r>
      <t>§</t>
    </r>
    <r>
      <rPr>
        <sz val="13"/>
        <color theme="1"/>
        <rFont val="Times New Roman"/>
        <family val="1"/>
      </rPr>
      <t>  Tiêu chuẩn chất lượng: </t>
    </r>
  </si>
  <si>
    <r>
      <t>§</t>
    </r>
    <r>
      <rPr>
        <sz val="13"/>
        <color theme="1"/>
        <rFont val="Times New Roman"/>
        <family val="1"/>
      </rPr>
      <t>  Chất liệu: Gang</t>
    </r>
  </si>
  <si>
    <r>
      <t>§</t>
    </r>
    <r>
      <rPr>
        <sz val="13"/>
        <color theme="1"/>
        <rFont val="Times New Roman"/>
        <family val="1"/>
      </rPr>
      <t>  Màu sắc: Đỏ</t>
    </r>
  </si>
  <si>
    <r>
      <t>§</t>
    </r>
    <r>
      <rPr>
        <sz val="13"/>
        <color theme="1"/>
        <rFont val="Times New Roman"/>
        <family val="1"/>
      </rPr>
      <t>  Tính năng: Tiếp nước chữa cháy</t>
    </r>
  </si>
  <si>
    <r>
      <t>§</t>
    </r>
    <r>
      <rPr>
        <sz val="13"/>
        <color theme="1"/>
        <rFont val="Times New Roman"/>
        <family val="1"/>
      </rPr>
      <t>  Đầu vào: 2xD65</t>
    </r>
  </si>
  <si>
    <r>
      <t>§</t>
    </r>
    <r>
      <rPr>
        <sz val="13"/>
        <color theme="1"/>
        <rFont val="Times New Roman"/>
        <family val="1"/>
      </rPr>
      <t>  Đầu ra: D90</t>
    </r>
  </si>
  <si>
    <r>
      <t>§</t>
    </r>
    <r>
      <rPr>
        <sz val="13"/>
        <color theme="1"/>
        <rFont val="Times New Roman"/>
        <family val="1"/>
      </rPr>
      <t>  Lưu lượng nước: 2000 lít/phút</t>
    </r>
  </si>
  <si>
    <r>
      <t>§</t>
    </r>
    <r>
      <rPr>
        <sz val="13"/>
        <color theme="1"/>
        <rFont val="Times New Roman"/>
        <family val="1"/>
      </rPr>
      <t>  Họng tiếp nước 2 chạc Chất liệu: gang</t>
    </r>
  </si>
  <si>
    <r>
      <t>§</t>
    </r>
    <r>
      <rPr>
        <sz val="13"/>
        <color theme="1"/>
        <rFont val="Times New Roman"/>
        <family val="1"/>
      </rPr>
      <t>  Ngàm răng + nắp che: nhôm</t>
    </r>
  </si>
  <si>
    <r>
      <t>§</t>
    </r>
    <r>
      <rPr>
        <sz val="13"/>
        <color theme="1"/>
        <rFont val="Times New Roman"/>
        <family val="1"/>
      </rPr>
      <t>  Áp lực làm việc: 10kg/cm²</t>
    </r>
  </si>
  <si>
    <r>
      <t>§</t>
    </r>
    <r>
      <rPr>
        <sz val="13"/>
        <color theme="1"/>
        <rFont val="Times New Roman"/>
        <family val="1"/>
      </rPr>
      <t>  Áp lực thử việc: 15kg/cm²</t>
    </r>
  </si>
  <si>
    <t>a)            Mô tả thông số kỹ thuật van an toàn</t>
  </si>
  <si>
    <r>
      <t>§</t>
    </r>
    <r>
      <rPr>
        <sz val="13"/>
        <color theme="1"/>
        <rFont val="Times New Roman"/>
        <family val="1"/>
      </rPr>
      <t>  Tiêu chuẩn: QCVN-02: 2020/BCA hoặc NFPA 20.</t>
    </r>
  </si>
  <si>
    <r>
      <t>§</t>
    </r>
    <r>
      <rPr>
        <sz val="13"/>
        <color theme="1"/>
        <rFont val="Times New Roman"/>
        <family val="1"/>
      </rPr>
      <t>  Kích thước: DN100</t>
    </r>
  </si>
  <si>
    <r>
      <t>§</t>
    </r>
    <r>
      <rPr>
        <sz val="13"/>
        <color theme="1"/>
        <rFont val="Times New Roman"/>
        <family val="1"/>
      </rPr>
      <t>  Áp suất làm việc: 10 kgf/cm²</t>
    </r>
  </si>
  <si>
    <r>
      <t>§</t>
    </r>
    <r>
      <rPr>
        <sz val="13"/>
        <color theme="1"/>
        <rFont val="Times New Roman"/>
        <family val="1"/>
      </rPr>
      <t>  Nhiệt độ làm việc: -100 ~ 80ºC</t>
    </r>
  </si>
  <si>
    <r>
      <t>§</t>
    </r>
    <r>
      <rPr>
        <sz val="13"/>
        <color theme="1"/>
        <rFont val="Times New Roman"/>
        <family val="1"/>
      </rPr>
      <t>  Môi trường làm việc: Nước, nước thải</t>
    </r>
  </si>
  <si>
    <r>
      <t>§</t>
    </r>
    <r>
      <rPr>
        <sz val="13"/>
        <color theme="1"/>
        <rFont val="Times New Roman"/>
        <family val="1"/>
      </rPr>
      <t>  Kết nối: PN10/PN16/JIS 10K/ANSI 150- LB</t>
    </r>
  </si>
  <si>
    <t>b)            Cấu tạo van an toàn DN100</t>
  </si>
  <si>
    <r>
      <t>§</t>
    </r>
    <r>
      <rPr>
        <sz val="13"/>
        <color theme="1"/>
        <rFont val="Times New Roman"/>
        <family val="1"/>
      </rPr>
      <t>  Phần thân và nắp van: Làm bằng gang cầu FCD450 và sơn phủ Eboxy với độ dày tổi thiểu 300µm hạn chế sự ăn mòn của môi trường, axit…</t>
    </r>
  </si>
  <si>
    <r>
      <t>§</t>
    </r>
    <r>
      <rPr>
        <sz val="13"/>
        <color theme="1"/>
        <rFont val="Times New Roman"/>
        <family val="1"/>
      </rPr>
      <t>  Phần lá van: Bằng gang cầu và bọc cao su EPDM có dạng hình nêm.</t>
    </r>
  </si>
  <si>
    <r>
      <t>§</t>
    </r>
    <r>
      <rPr>
        <sz val="13"/>
        <color theme="1"/>
        <rFont val="Times New Roman"/>
        <family val="1"/>
      </rPr>
      <t>  Ty van: được làm bằng inox 304.</t>
    </r>
  </si>
  <si>
    <r>
      <t>§</t>
    </r>
    <r>
      <rPr>
        <sz val="13"/>
        <color theme="1"/>
        <rFont val="Times New Roman"/>
        <family val="1"/>
      </rPr>
      <t>  Phần ống dẫn: Làm bằng đồng thau.</t>
    </r>
  </si>
  <si>
    <r>
      <t>§</t>
    </r>
    <r>
      <rPr>
        <sz val="13"/>
        <color theme="1"/>
        <rFont val="Times New Roman"/>
        <family val="1"/>
      </rPr>
      <t>  Đồng hồ dùng để đo áp đầu bằng inox và là loại có dầu nên rất bền.</t>
    </r>
  </si>
  <si>
    <r>
      <t>§</t>
    </r>
    <r>
      <rPr>
        <sz val="13"/>
        <color theme="1"/>
        <rFont val="Times New Roman"/>
        <family val="1"/>
      </rPr>
      <t>  Pilot dùng để điều chỉnh áp suất để mở lá van.</t>
    </r>
  </si>
  <si>
    <t xml:space="preserve">c)            Đặc điểm, vai trò van an toàn </t>
  </si>
  <si>
    <r>
      <t>§</t>
    </r>
    <r>
      <rPr>
        <sz val="13"/>
        <color theme="1"/>
        <rFont val="Times New Roman"/>
        <family val="1"/>
      </rPr>
      <t>  Chỉnh tự động chính xác nhờ hệ thống Pilot.</t>
    </r>
  </si>
  <si>
    <r>
      <t>§</t>
    </r>
    <r>
      <rPr>
        <sz val="13"/>
        <color theme="1"/>
        <rFont val="Times New Roman"/>
        <family val="1"/>
      </rPr>
      <t>  Van hoạt động trên nguyên tắc thủy lực, điều khiển mực nước chính xác.</t>
    </r>
  </si>
  <si>
    <r>
      <t>§</t>
    </r>
    <r>
      <rPr>
        <sz val="13"/>
        <color theme="1"/>
        <rFont val="Times New Roman"/>
        <family val="1"/>
      </rPr>
      <t>  Đơn giản, hoạt động tin cậy, dễ  điều chỉnh và bảo dưỡng.</t>
    </r>
  </si>
  <si>
    <r>
      <t>§</t>
    </r>
    <r>
      <rPr>
        <sz val="13"/>
        <color theme="1"/>
        <rFont val="Times New Roman"/>
        <family val="1"/>
      </rPr>
      <t>  Màng chắn được cấu tạo bằng Nylon và cao su, tạo sự bền vững và chính xác.</t>
    </r>
  </si>
  <si>
    <r>
      <t>§</t>
    </r>
    <r>
      <rPr>
        <sz val="13"/>
        <color theme="1"/>
        <rFont val="Times New Roman"/>
        <family val="1"/>
      </rPr>
      <t>  Đặc điểm của bộ van điều khiển (Pilot) là dễ hoạt động và điều khiển chính xác áp lực.</t>
    </r>
  </si>
  <si>
    <r>
      <t>§</t>
    </r>
    <r>
      <rPr>
        <sz val="13"/>
        <color theme="1"/>
        <rFont val="Times New Roman"/>
        <family val="1"/>
      </rPr>
      <t>  Được dẫn hướng bởi trục van trên và dưới. Lắp ráp vào màng chắn cho tuổi thọ và độ tin cậy cao.</t>
    </r>
  </si>
  <si>
    <r>
      <t>§</t>
    </r>
    <r>
      <rPr>
        <sz val="13"/>
        <color theme="1"/>
        <rFont val="Times New Roman"/>
        <family val="1"/>
      </rPr>
      <t>  Quạt hướng trục chống cháy nổ phải đạt chứng nhận chống cháy nổ để hút hoặc đẩy không khí &amp; khói thông qua ống dẫn ngắn, lắp tường hoặc bảng điều khiển, phù hợp với tiêu chuẩn ATEX 84/9/EEC có có hiệu lực từ ngày 1 tháng 7 năm 2003 tại EU.</t>
    </r>
  </si>
  <si>
    <r>
      <t>§</t>
    </r>
    <r>
      <rPr>
        <sz val="13"/>
        <color theme="1"/>
        <rFont val="Times New Roman"/>
        <family val="1"/>
      </rPr>
      <t>  Thích hợp cho các ứng dụng trong môi trường thương mại và công nghiệp, nơi có nguy cơ cháy nổ cao và nơi không khí xung quanh có chứa khí, hơi hoặc hơi dễ cháy.</t>
    </r>
  </si>
  <si>
    <r>
      <t>§</t>
    </r>
    <r>
      <rPr>
        <sz val="13"/>
        <color theme="1"/>
        <rFont val="Times New Roman"/>
        <family val="1"/>
      </rPr>
      <t>  Được cấp chứng nhận chống cháy nổ bởi Viện CESI (đơn vị ủy quyền của ATEX), giấy chứng nhận số CESI n° 03 ATEX 251.</t>
    </r>
  </si>
  <si>
    <r>
      <t>§</t>
    </r>
    <r>
      <rPr>
        <sz val="13"/>
        <color theme="1"/>
        <rFont val="Times New Roman"/>
        <family val="1"/>
      </rPr>
      <t>  Đạt tiêu chuẩn phòng nổ Exd IIB, T3/T4/T5/T6, zone 1 &amp; zone 2.</t>
    </r>
  </si>
  <si>
    <r>
      <t>§</t>
    </r>
    <r>
      <rPr>
        <sz val="13"/>
        <color theme="1"/>
        <rFont val="Times New Roman"/>
        <family val="1"/>
      </rPr>
      <t>  Phần thân quạt bằng thép mạ được bảo vệ bởi sơn chống ăn mòn gốc epoxy, phần cánh quạt được làm bằng nylon dẫn điện gia cố VO.</t>
    </r>
  </si>
  <si>
    <r>
      <t>§</t>
    </r>
    <r>
      <rPr>
        <sz val="13"/>
        <color theme="1"/>
        <rFont val="Times New Roman"/>
        <family val="1"/>
      </rPr>
      <t>  Vòng bi cách điện class F, động cơ (motor) đạt cấp bảo vệ IP55.</t>
    </r>
  </si>
  <si>
    <r>
      <t>§</t>
    </r>
    <r>
      <rPr>
        <sz val="13"/>
        <color theme="1"/>
        <rFont val="Times New Roman"/>
        <family val="1"/>
      </rPr>
      <t>  Nhiệt độ không khí hút tối đa: 40°C.</t>
    </r>
  </si>
  <si>
    <r>
      <t>§</t>
    </r>
    <r>
      <rPr>
        <sz val="13"/>
        <color theme="1"/>
        <rFont val="Times New Roman"/>
        <family val="1"/>
      </rPr>
      <t>  Khả năng đảo ngược chiều: áp dụng cho tất cả các model</t>
    </r>
  </si>
  <si>
    <r>
      <t>§</t>
    </r>
    <r>
      <rPr>
        <sz val="13"/>
        <color theme="1"/>
        <rFont val="Times New Roman"/>
        <family val="1"/>
      </rPr>
      <t>  Tiêu chuẩn tham khảo: EN 13463-1; EN 13463-5; EN 14986.</t>
    </r>
  </si>
  <si>
    <r>
      <t>§</t>
    </r>
    <r>
      <rPr>
        <sz val="13"/>
        <color theme="1"/>
        <rFont val="Times New Roman"/>
        <family val="1"/>
      </rPr>
      <t>  CL 1.6 (DN63/DN80)</t>
    </r>
  </si>
  <si>
    <r>
      <t>§</t>
    </r>
    <r>
      <rPr>
        <sz val="13"/>
        <color theme="1"/>
        <rFont val="Times New Roman"/>
        <family val="1"/>
      </rPr>
      <t>  CL 1.0 (DN40/DN50) </t>
    </r>
  </si>
  <si>
    <r>
      <t>§</t>
    </r>
    <r>
      <rPr>
        <sz val="13"/>
        <color theme="1"/>
        <rFont val="Times New Roman"/>
        <family val="1"/>
      </rPr>
      <t>  - 40 - +65°C không có chất lỏng làm giảm độ ẩm);</t>
    </r>
  </si>
  <si>
    <r>
      <t>§</t>
    </r>
    <r>
      <rPr>
        <sz val="13"/>
        <color theme="1"/>
        <rFont val="Times New Roman"/>
        <family val="1"/>
      </rPr>
      <t>  - 20- +65°C với chất lỏng giảm chấn).</t>
    </r>
  </si>
  <si>
    <r>
      <t>§</t>
    </r>
    <r>
      <rPr>
        <sz val="13"/>
        <color theme="1"/>
        <rFont val="Times New Roman"/>
        <family val="1"/>
      </rPr>
      <t>  Dải tần số: VHF:136-174 MHz, UHF: 400-470 MHz.</t>
    </r>
  </si>
  <si>
    <r>
      <t>§</t>
    </r>
    <r>
      <rPr>
        <sz val="13"/>
        <color theme="1"/>
        <rFont val="Times New Roman"/>
        <family val="1"/>
      </rPr>
      <t>  Số kênh: 128CH</t>
    </r>
  </si>
  <si>
    <r>
      <t>§</t>
    </r>
    <r>
      <rPr>
        <sz val="13"/>
        <color theme="1"/>
        <rFont val="Times New Roman"/>
        <family val="1"/>
      </rPr>
      <t>  Khoảng các giữ các kênh: 12,5 kHz, 25 kHz.</t>
    </r>
  </si>
  <si>
    <r>
      <t>§</t>
    </r>
    <r>
      <rPr>
        <sz val="13"/>
        <color theme="1"/>
        <rFont val="Times New Roman"/>
        <family val="1"/>
      </rPr>
      <t>  Điện áp hoạt động: 7.4V</t>
    </r>
  </si>
  <si>
    <r>
      <t>§</t>
    </r>
    <r>
      <rPr>
        <sz val="13"/>
        <color theme="1"/>
        <rFont val="Times New Roman"/>
        <family val="1"/>
      </rPr>
      <t>  Tuổi thộ pin: Pin 1800 mAh sử dụng liên tục 11 giờ</t>
    </r>
  </si>
  <si>
    <r>
      <t>§</t>
    </r>
    <r>
      <rPr>
        <sz val="13"/>
        <color theme="1"/>
        <rFont val="Times New Roman"/>
        <family val="1"/>
      </rPr>
      <t>  Nhiệt độ hoạt động: -20 ° C ~ + 60 ° C.</t>
    </r>
  </si>
  <si>
    <r>
      <t>§</t>
    </r>
    <r>
      <rPr>
        <sz val="13"/>
        <color theme="1"/>
        <rFont val="Times New Roman"/>
        <family val="1"/>
      </rPr>
      <t>  Trở kháng antenna: 50Ω.</t>
    </r>
  </si>
  <si>
    <r>
      <t>§</t>
    </r>
    <r>
      <rPr>
        <sz val="13"/>
        <color theme="1"/>
        <rFont val="Times New Roman"/>
        <family val="1"/>
      </rPr>
      <t>  Kích thước (W x H x D): 111 x 54 x 34 mm.</t>
    </r>
  </si>
  <si>
    <r>
      <t>§</t>
    </r>
    <r>
      <rPr>
        <sz val="13"/>
        <color theme="1"/>
        <rFont val="Times New Roman"/>
        <family val="1"/>
      </rPr>
      <t>  Trọng lượng: 270g kèm Pin FNB-Z181</t>
    </r>
  </si>
  <si>
    <r>
      <t>§</t>
    </r>
    <r>
      <rPr>
        <sz val="13"/>
        <color theme="1"/>
        <rFont val="Times New Roman"/>
        <family val="1"/>
      </rPr>
      <t>   Độ nhạy digital / analog (12 dB SINAD) 0.25 μV/ 0.25 μV.</t>
    </r>
  </si>
  <si>
    <r>
      <t>§</t>
    </r>
    <r>
      <rPr>
        <sz val="13"/>
        <color theme="1"/>
        <rFont val="Times New Roman"/>
        <family val="1"/>
      </rPr>
      <t>  Chọn lọc analog 65/60 dB.</t>
    </r>
  </si>
  <si>
    <r>
      <t>§</t>
    </r>
    <r>
      <rPr>
        <sz val="13"/>
        <color theme="1"/>
        <rFont val="Times New Roman"/>
        <family val="1"/>
      </rPr>
      <t>  Độ méo âm thanh &lt;3%.</t>
    </r>
  </si>
  <si>
    <r>
      <t>§</t>
    </r>
    <r>
      <rPr>
        <sz val="13"/>
        <color theme="1"/>
        <rFont val="Times New Roman"/>
        <family val="1"/>
      </rPr>
      <t>  Công suất đầu ra 1 W / 12 Ω (nội bộ) 500MW / 8 Ω (ra ngoài).</t>
    </r>
  </si>
  <si>
    <r>
      <t>§</t>
    </r>
    <r>
      <rPr>
        <sz val="13"/>
        <color theme="1"/>
        <rFont val="Times New Roman"/>
        <family val="1"/>
      </rPr>
      <t>  Công suất phát lớn /nhỏ: 5 W / 1 W.</t>
    </r>
  </si>
  <si>
    <r>
      <t>§</t>
    </r>
    <r>
      <rPr>
        <sz val="13"/>
        <color theme="1"/>
        <rFont val="Times New Roman"/>
        <family val="1"/>
      </rPr>
      <t>  Giới hạn modulation: ± 2.5kHz</t>
    </r>
  </si>
  <si>
    <r>
      <t>§</t>
    </r>
    <r>
      <rPr>
        <sz val="13"/>
        <color theme="1"/>
        <rFont val="Times New Roman"/>
        <family val="1"/>
      </rPr>
      <t>  Độ ồn: 45/40 dB.</t>
    </r>
  </si>
  <si>
    <r>
      <t>§</t>
    </r>
    <r>
      <rPr>
        <sz val="13"/>
        <color theme="1"/>
        <rFont val="Times New Roman"/>
        <family val="1"/>
      </rPr>
      <t>  Điều chế 11K0F3E, 4K00F1E, 4K00F1D, 4K00F7W, 4K00F2D.</t>
    </r>
  </si>
  <si>
    <r>
      <t>§</t>
    </r>
    <r>
      <rPr>
        <sz val="13"/>
        <color theme="1"/>
        <rFont val="Times New Roman"/>
        <family val="1"/>
      </rPr>
      <t>  Khu vực nhiều nhà cao tầng, khu đông dân cư, vùng có ảnh hưởng nhiều sóng khác: &lt; 1 km</t>
    </r>
  </si>
  <si>
    <r>
      <t>§</t>
    </r>
    <r>
      <rPr>
        <sz val="13"/>
        <color theme="1"/>
        <rFont val="Times New Roman"/>
        <family val="1"/>
      </rPr>
      <t>  Khu vực vùng ven thành phố, ít nhà cao tầng, ít vật cản &lt; 3 km</t>
    </r>
  </si>
  <si>
    <r>
      <t>§</t>
    </r>
    <r>
      <rPr>
        <sz val="13"/>
        <color theme="1"/>
        <rFont val="Times New Roman"/>
        <family val="1"/>
      </rPr>
      <t>  Khu vực đất trống, bến cảng, ngoại thành &lt; 5 km</t>
    </r>
  </si>
  <si>
    <r>
      <t>§</t>
    </r>
    <r>
      <rPr>
        <sz val="13"/>
        <color theme="1"/>
        <rFont val="Times New Roman"/>
        <family val="1"/>
      </rPr>
      <t>   Trong các tòa nhà cao ốc đang xây dựng &lt; 40 tầng</t>
    </r>
  </si>
  <si>
    <r>
      <t>§</t>
    </r>
    <r>
      <rPr>
        <sz val="13"/>
        <color theme="1"/>
        <rFont val="Times New Roman"/>
        <family val="1"/>
      </rPr>
      <t>  Trong các tòa nhà cao ốc đang hoạt động &lt; 20 tầng.</t>
    </r>
  </si>
  <si>
    <t>-   Bình CO₂ dùng để chữa cháy điện (điện hạ thế, trung thế và cao thế).</t>
  </si>
  <si>
    <t>-   Bình CO₂ không chữa được kim loại cháy, hồ quang và một số chất giầu oxy.</t>
  </si>
  <si>
    <t>-   Sức chứa (kg): 5±0.25</t>
  </si>
  <si>
    <t>-   Hiệu quả phun (s): ≥9</t>
  </si>
  <si>
    <t>-   Phạm vi phun: (m) ≥1.5-2</t>
  </si>
  <si>
    <t>-   Phân loại (B): ≤5B</t>
  </si>
  <si>
    <t>-   Áp suất vận hành (MPa) 4</t>
  </si>
  <si>
    <t>-   Thử nghiệm qua nước (MPa) 10~55</t>
  </si>
  <si>
    <t>-   Quy cách đóng gói: 1 bình / thùng</t>
  </si>
  <si>
    <t>-   Kích thước (cm) 24×17×88</t>
  </si>
  <si>
    <t>-   Trọng lượng (kg): ~ 18</t>
  </si>
  <si>
    <t>-   Bình bột chữa cháy dùng để chữa cháy các chất rắn, chất lỏng, chất khí và các chất khí hoá lỏng dễ cháy, chữa cháy kim loại bằng các loại bình bột đặc biệt.</t>
  </si>
  <si>
    <t>-   Bình bột có thể sử dụng để chữa cháy điện hạ thế ( dưới 1000V).</t>
  </si>
  <si>
    <t>-   Sức chứa (kg): 4±0.16</t>
  </si>
  <si>
    <t>-   Hiệu quả phun / Effective discharge time (s): ≥13</t>
  </si>
  <si>
    <t>-   Phạm vi phun / Effective bulk range of dischage: (m) ≥4</t>
  </si>
  <si>
    <t>-   Nhiệt độ hoạt động / Temperature: -20÷</t>
  </si>
  <si>
    <t>-   Phân loại / Class rating: 9B</t>
  </si>
  <si>
    <t>-   Áp suất vận hành (MPa) 1.2</t>
  </si>
  <si>
    <t>-   Thử nghiệm qua nước (MPa) 2.5</t>
  </si>
  <si>
    <t>-   Quy cách đóng gói: 2 bình / thùng</t>
  </si>
  <si>
    <t>-   Kích thước (cm) 63×36×18</t>
  </si>
  <si>
    <t>-   Trọng lượng (kg) ~ 12</t>
  </si>
  <si>
    <t>-   Hiệu quả phun (s): ≥20</t>
  </si>
  <si>
    <t>-   Phạm vi phun: (m) ≥1.5-4</t>
  </si>
  <si>
    <t>-   Nhiệt độ hoạt động: -10÷ +55 độ C</t>
  </si>
  <si>
    <t>-   Phân loại (B): ≤ 10B</t>
  </si>
  <si>
    <t>-   Áp suất vận hành (MPa) 10</t>
  </si>
  <si>
    <t>-   Kích thước (cm) 60×80×140</t>
  </si>
  <si>
    <t>-   Trọng lượng (kg): ~ 106</t>
  </si>
  <si>
    <r>
      <t>Bộ chuyển đổi RS232</t>
    </r>
    <r>
      <rPr>
        <b/>
        <sz val="13"/>
        <color theme="1"/>
        <rFont val="Calibri"/>
        <family val="2"/>
      </rPr>
      <t>→</t>
    </r>
    <r>
      <rPr>
        <b/>
        <sz val="13"/>
        <color theme="1"/>
        <rFont val="Calibri Light"/>
        <family val="1"/>
        <scheme val="major"/>
      </rPr>
      <t>RS485</t>
    </r>
  </si>
  <si>
    <t>Nguồn:.</t>
  </si>
  <si>
    <t>Lấy từ cổng RS232, không cần nguồn ngoài</t>
  </si>
  <si>
    <t>Chuyển đổi tín hiệu</t>
  </si>
  <si>
    <t>RS232 sang RS485</t>
  </si>
  <si>
    <t>Cắm và chạy (Plug and play)</t>
  </si>
  <si>
    <t>Có khả năng cắm nóng thiết bị tự động định dạng dữ liệu.</t>
  </si>
  <si>
    <t>Điểm đếm</t>
  </si>
  <si>
    <t>Đa điểm, hỗ trợ 128 điểm loopback hoặc tương đương</t>
  </si>
  <si>
    <t xml:space="preserve">Quay vòng dữ liệu </t>
  </si>
  <si>
    <t>Tự động, không đòi hỏi kiểm soát luồng dữ liệu.</t>
  </si>
  <si>
    <t>Connector RS232</t>
  </si>
  <si>
    <t>Kết nối từ modul của công tơ (cổng 25 chân) đến cổng RS232 của máy tính công nghiệp (cổng 9 chân)</t>
  </si>
  <si>
    <r>
      <t>- Cổng có thể chịu được nhiệt hơn 500</t>
    </r>
    <r>
      <rPr>
        <vertAlign val="superscript"/>
        <sz val="13"/>
        <color theme="1"/>
        <rFont val="Times New Roman"/>
        <family val="1"/>
      </rPr>
      <t>0</t>
    </r>
    <r>
      <rPr>
        <sz val="13"/>
        <color theme="1"/>
        <rFont val="Times New Roman"/>
        <family val="1"/>
      </rPr>
      <t>C  trong thời gian ngắn, chống thấm nước, chống thấm khí O2, CO2, N2…, độ bền cơ học cao, dễ thao tác đấu nối</t>
    </r>
  </si>
  <si>
    <t xml:space="preserve">Bước sóng công tác: </t>
  </si>
  <si>
    <t>1310nm/1550nm</t>
  </si>
  <si>
    <t xml:space="preserve">Cự ly truyền dẫn: </t>
  </si>
  <si>
    <t>40km-60km</t>
  </si>
  <si>
    <t xml:space="preserve">Giao diện điện: </t>
  </si>
  <si>
    <t>G703/120 Ohm</t>
  </si>
  <si>
    <t xml:space="preserve">Lắp đặt: </t>
  </si>
  <si>
    <t>Lắp đặt trên khe Switch.</t>
  </si>
  <si>
    <t>Thiết bị module SFP</t>
  </si>
  <si>
    <t xml:space="preserve">Hệ thống điều khiển máy tính </t>
  </si>
  <si>
    <t>Hệ thống Máy tính HMI</t>
  </si>
  <si>
    <t>I.1</t>
  </si>
  <si>
    <t>DDR-3: 2x4GB, bus:</t>
  </si>
  <si>
    <t>1333MHz hoặc cao hơn, với 2 khe (02) DIM</t>
  </si>
  <si>
    <t>I.2</t>
  </si>
  <si>
    <t>Máy tính Engineering</t>
  </si>
  <si>
    <t>Nhà thầu nêu cụ thể</t>
  </si>
  <si>
    <t>Máy dạng Rack</t>
  </si>
  <si>
    <t>Mainboard:</t>
  </si>
  <si>
    <t xml:space="preserve">Bộ xử lý: </t>
  </si>
  <si>
    <t>Tối thiểu Intel Core i7 hoặc cao hơn; CPUs: &gt; 2,8 GHz ; Bus: 1333 MHz; 3MB L2 Cache Memory hoặc cao hơn</t>
  </si>
  <si>
    <t>Số lượng bộ xử lý:</t>
  </si>
  <si>
    <t>Bộ nhớ</t>
  </si>
  <si>
    <t>Khe mở rộng</t>
  </si>
  <si>
    <t>Khay ổ cứng</t>
  </si>
  <si>
    <t>Hỗ trợ nhiều khay (tối thiểu 02 khay)</t>
  </si>
  <si>
    <t>SSD storage: tối thiểu 250Gb</t>
  </si>
  <si>
    <t>Đầu đọc</t>
  </si>
  <si>
    <t>Giao diện mạng</t>
  </si>
  <si>
    <t>Bộ xử lý đồ họa</t>
  </si>
  <si>
    <t>On board hoặc external, tối thiểu (02) cổng giao diện: D-sub/HDMI, và có chức năng hiển thị trên 2 màn hình trong cùng thời điểm</t>
  </si>
  <si>
    <t xml:space="preserve">Cổng USB </t>
  </si>
  <si>
    <t>Thiết bị ngoại vi</t>
  </si>
  <si>
    <t>2 nguồn dự phòng (1+1).</t>
  </si>
  <si>
    <t>110VDC (+/- 20%)</t>
  </si>
  <si>
    <t>Phần mềm hệ thống (OS)</t>
  </si>
  <si>
    <t>-   Phần mềm hệ thống (OS)
Cam kết không chứa mã độc từ nhà sản xuất và có phần mềm diệt virus</t>
  </si>
  <si>
    <t>Thiết bị Ethernet Switch Distribute</t>
  </si>
  <si>
    <t xml:space="preserve">Số cổng (Đối với swicth Distribute): </t>
  </si>
  <si>
    <t>Trọn bộ phụ kiện, cáp kết nối, cáp nguồn đầu nối kèm theo.</t>
  </si>
  <si>
    <t>IP source guard, DHCP snooping, ARP spoofing (hoặc ARP inspection).</t>
  </si>
  <si>
    <t>802.1x, RADIUS, TACACS+, Access Control List, Storm Control (hoặc Storm protection).</t>
  </si>
  <si>
    <t>-          ≥ 04 x port 1000/10000Base(SFP) (bao gồm  SFP 1000/10000 Mbps tương thích với hệ thống hiện hữu theo thiết kế).</t>
  </si>
  <si>
    <t>-          ≥ 20 x port 10/100/1000 Base- SFP (bao gồm module quang, đồng theo triển khai kết nối thực tế trạm mới/ hiện hữu, module đồng bộ hãng sản xuất Switch, tương thích với hệ thống hiện hữu).</t>
  </si>
  <si>
    <t>-          Đáp ứng chuẩn IEEE: 802.3z; 802.3ab; 802.3u; 802.1w; 802.1D, 802.1p, 802.1Q, 802.1s, 802.3ad, 802.3x.</t>
  </si>
  <si>
    <t>-          Đáp ứng Layer 3 routing (đối với switch distribute).</t>
  </si>
  <si>
    <t>-          Đáp ứng theo tiêu chuẩn IEEE1613, IEC 61850-3, làm việc được trong môi trường TBA 110kV hoặc làm việc được trong môi trường có nguồn năng lượng phát xạ điện từ.</t>
  </si>
  <si>
    <t>-          Có chứng nhận KEMA hoặc của tổ chức quốc tế test theo tiêu chuẩn IEEE1613 và IEC61850.</t>
  </si>
  <si>
    <t>-          Số lượng cổng cấp nguồn: 2 nguồn hoạt động dự phòng 1:1.</t>
  </si>
  <si>
    <t>-          Mức điện áp: 110VDC ±20%.</t>
  </si>
  <si>
    <t>≥ 30 m (đấu nối 87L)</t>
  </si>
  <si>
    <t>Thiết bị module ghép stack</t>
  </si>
  <si>
    <t xml:space="preserve">Khoảng cách xếp chồng giữa các switch: </t>
  </si>
  <si>
    <t xml:space="preserve">Số cổng </t>
  </si>
  <si>
    <t xml:space="preserve">Băng thông: </t>
  </si>
  <si>
    <t xml:space="preserve">Số lượng xếp chồng tối đa: </t>
  </si>
  <si>
    <t>- Trọn bộ cáp kết nối, đầu nối…</t>
  </si>
  <si>
    <t>HỆ THỐNG THÔNG TIN LIÊN LẠC (Switch distribute, Firewall, IP phone,…)</t>
  </si>
  <si>
    <t>2.14</t>
  </si>
  <si>
    <t>2.15</t>
  </si>
  <si>
    <t>HỆ THỐNG CAMERA</t>
  </si>
  <si>
    <t>HỆ THỐNG PCCC</t>
  </si>
  <si>
    <t>IPC-7130</t>
  </si>
  <si>
    <t>8GB DDR4 3200Mhz</t>
  </si>
  <si>
    <t>Viewsonic/Trung Quốc</t>
  </si>
  <si>
    <t>VA2215</t>
  </si>
  <si>
    <t>ACP-4320</t>
  </si>
  <si>
    <t>STACK-KIT</t>
  </si>
  <si>
    <t>Tối đa 3m (Tùy chọn cáp 0.5m, 1m hoặc 3m)</t>
  </si>
  <si>
    <t>02 cổng StackWise 440</t>
  </si>
  <si>
    <t>440 Gbps</t>
  </si>
  <si>
    <t>08 thiết bị</t>
  </si>
  <si>
    <t>Advantech / Đài Loan</t>
  </si>
  <si>
    <t>EKI-8528-4XF-A</t>
  </si>
  <si>
    <t>ECU-4784/Advantech</t>
  </si>
  <si>
    <t xml:space="preserve">SurvalanONE / Survalent </t>
  </si>
  <si>
    <t>GW</t>
  </si>
  <si>
    <t>2200x800x800</t>
  </si>
  <si>
    <t>TITSMART</t>
  </si>
  <si>
    <t>TITSMART/Việt Nam</t>
  </si>
  <si>
    <t>Canada</t>
  </si>
  <si>
    <t xml:space="preserve">Survalent </t>
  </si>
  <si>
    <t xml:space="preserve">SurvalanONE </t>
  </si>
  <si>
    <t>Advantech/Trung Quốc</t>
  </si>
  <si>
    <t>EKI-9226G</t>
  </si>
  <si>
    <t>ECU-4784</t>
  </si>
  <si>
    <t>IdealPlusing/Trung Quốc</t>
  </si>
  <si>
    <t>IPS-DTA2000-110</t>
  </si>
  <si>
    <t>Kyland/Trung Quốc</t>
  </si>
  <si>
    <t>PTS-DR200</t>
  </si>
  <si>
    <t>Checkpoint/Đài Loan</t>
  </si>
  <si>
    <t>CPAP-SG1575R</t>
  </si>
  <si>
    <t>Noark/Trung Quốc</t>
  </si>
  <si>
    <t>Ex9</t>
  </si>
  <si>
    <t>Phoenix/ Áo</t>
  </si>
  <si>
    <t>REL</t>
  </si>
  <si>
    <t>Phoenix/ Trung Quốc</t>
  </si>
  <si>
    <t>UK6N/ UK10N/ URTK/S</t>
  </si>
  <si>
    <t>CV</t>
  </si>
  <si>
    <t>COM</t>
  </si>
  <si>
    <t>DNQ</t>
  </si>
  <si>
    <t>CPKL</t>
  </si>
  <si>
    <t>ODF24</t>
  </si>
  <si>
    <t>WT/Handar/Trung Quốc</t>
  </si>
  <si>
    <t>SFP</t>
  </si>
  <si>
    <t>Commscope/Trung Quốc</t>
  </si>
  <si>
    <t>884024508/10</t>
  </si>
  <si>
    <t>F/UTP CAT6</t>
  </si>
  <si>
    <t>HD-Link/Trung Quốc</t>
  </si>
  <si>
    <t>D-SUB-DB9-DB25</t>
  </si>
  <si>
    <t>3onedata/Trung Quốc</t>
  </si>
  <si>
    <t>TLC485</t>
  </si>
  <si>
    <t>DS-2DE4225IW</t>
  </si>
  <si>
    <t>Hikvision</t>
  </si>
  <si>
    <t>Trung Quốc</t>
  </si>
  <si>
    <t>EX3400</t>
  </si>
  <si>
    <t>Juniper</t>
  </si>
  <si>
    <t>AR 716 ,AR725</t>
  </si>
  <si>
    <t>Soyal</t>
  </si>
  <si>
    <t>CBXstd v2</t>
  </si>
  <si>
    <t>3S</t>
  </si>
  <si>
    <t>Việt Nam</t>
  </si>
  <si>
    <t>DS-7716NXI-K4</t>
  </si>
  <si>
    <t>IdealPlusing</t>
  </si>
  <si>
    <t>Rack 19</t>
  </si>
  <si>
    <t>TMC</t>
  </si>
  <si>
    <t>VX3276</t>
  </si>
  <si>
    <t xml:space="preserve">Advantech </t>
  </si>
  <si>
    <t>Đài Loan</t>
  </si>
  <si>
    <t>Checkpoint</t>
  </si>
  <si>
    <t>Cisco</t>
  </si>
  <si>
    <t>VN/Trung Quốc</t>
  </si>
  <si>
    <t>CP-7821</t>
  </si>
  <si>
    <t>12.5 mm ± 0.5 mm</t>
  </si>
  <si>
    <t>&gt; 10.000 N</t>
  </si>
  <si>
    <t>LA302H1-10</t>
  </si>
  <si>
    <t>UK</t>
  </si>
  <si>
    <t>ACE-V+YBN-NSA-47</t>
  </si>
  <si>
    <t>Hochiki</t>
  </si>
  <si>
    <t>2025 trở lại đây</t>
  </si>
  <si>
    <t>FFH-2E090</t>
  </si>
  <si>
    <t>Japan</t>
  </si>
  <si>
    <t>HEC3-24WR</t>
  </si>
  <si>
    <t>USA</t>
  </si>
  <si>
    <t>Có thể tùy chỉnh được tiếng còi, cường độ chớp phù hợp với ứng dụng yêu cầu</t>
  </si>
  <si>
    <t>DCP-AMS</t>
  </si>
  <si>
    <t>WHEC24-75WR</t>
  </si>
  <si>
    <t>HCP-W</t>
  </si>
  <si>
    <t>DCP-SOM</t>
  </si>
  <si>
    <t>DCP-SCI</t>
  </si>
  <si>
    <t>KT 610</t>
  </si>
  <si>
    <t>Kentom</t>
  </si>
  <si>
    <t xml:space="preserve">KT 2200EL </t>
  </si>
  <si>
    <t>Năm 2025 trở lại đây</t>
  </si>
  <si>
    <t>Đèn trạm bơm chữa cháy</t>
  </si>
  <si>
    <t>FN-4127-NIC</t>
  </si>
  <si>
    <t>AD68-0500</t>
  </si>
  <si>
    <t>Kidde</t>
  </si>
  <si>
    <t>Anh</t>
  </si>
  <si>
    <t>Cu/Fr-PVC/S/FrPVC; XLPE/FRPVC</t>
  </si>
  <si>
    <t>Cadivi</t>
  </si>
  <si>
    <t>TSM-TPC</t>
  </si>
  <si>
    <t>KP(R)32-160/2.2</t>
  </si>
  <si>
    <t>Windy</t>
  </si>
  <si>
    <t>P = 2.2kW</t>
  </si>
  <si>
    <t>KP(R)50-250/22</t>
  </si>
  <si>
    <t>NTP4X13/3</t>
  </si>
  <si>
    <t>Nam Thành Phát</t>
  </si>
  <si>
    <t>DN65</t>
  </si>
  <si>
    <t>Cơ khí 83/BQP</t>
  </si>
  <si>
    <t>BFAG-200</t>
  </si>
  <si>
    <t>Sunfan</t>
  </si>
  <si>
    <t>P110</t>
  </si>
  <si>
    <t>Wise</t>
  </si>
  <si>
    <t>Korea</t>
  </si>
  <si>
    <t>Cơ khí 83 BQP</t>
  </si>
  <si>
    <t>TK- 2317</t>
  </si>
  <si>
    <t>Kenwood</t>
  </si>
  <si>
    <t>Malaisia</t>
  </si>
  <si>
    <t>ABB /Đức</t>
  </si>
  <si>
    <t>RTU560</t>
  </si>
  <si>
    <t>DS-2CD2121G0</t>
  </si>
  <si>
    <t>Việt Trung</t>
  </si>
  <si>
    <t>Phần mềm giám sát  hệ thống camera và cảnh báo PCCC</t>
  </si>
  <si>
    <t>Cadivi/Việt Nam</t>
  </si>
  <si>
    <t>ViewSonic</t>
  </si>
  <si>
    <t>Đài Loan + China</t>
  </si>
  <si>
    <t xml:space="preserve">Hochiki </t>
  </si>
  <si>
    <t>United Kingdom</t>
  </si>
  <si>
    <t>Advantech/Trung Quốc+ Đài Loan</t>
  </si>
  <si>
    <t>Postel/Việt Nam</t>
  </si>
  <si>
    <t>Cisco/Trung Quốc</t>
  </si>
  <si>
    <t>V AT100</t>
  </si>
  <si>
    <t>BDVa valvula</t>
  </si>
  <si>
    <t>KPR50-250/22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</si>
</sst>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charset val="163"/>
      <scheme val="minor"/>
    </font>
    <font>
      <b/>
      <sz val="13"/>
      <color theme="1"/>
      <name val="Times New Roman"/>
      <family val="1"/>
    </font>
    <font>
      <sz val="13"/>
      <color theme="1"/>
      <name val="Times New Roman"/>
      <family val="1"/>
    </font>
    <font>
      <i/>
      <sz val="13"/>
      <color theme="1"/>
      <name val="Times New Roman"/>
      <family val="1"/>
    </font>
    <font>
      <u/>
      <sz val="13"/>
      <color theme="1"/>
      <name val="Times New Roman"/>
      <family val="1"/>
    </font>
    <font>
      <vertAlign val="subscript"/>
      <sz val="13"/>
      <color theme="1"/>
      <name val="Times New Roman"/>
      <family val="1"/>
    </font>
    <font>
      <sz val="13"/>
      <color theme="1"/>
      <name val="Symbol"/>
      <family val="1"/>
      <charset val="2"/>
    </font>
    <font>
      <sz val="13"/>
      <color theme="1"/>
      <name val="Calibri"/>
      <family val="2"/>
      <charset val="163"/>
      <scheme val="minor"/>
    </font>
    <font>
      <sz val="11"/>
      <color theme="1"/>
      <name val="Calibri"/>
      <family val="2"/>
      <scheme val="minor"/>
    </font>
    <font>
      <vertAlign val="superscript"/>
      <sz val="13"/>
      <color theme="1"/>
      <name val="Times New Roman"/>
      <family val="1"/>
    </font>
    <font>
      <sz val="13"/>
      <color theme="1"/>
      <name val="Wingdings"/>
      <charset val="2"/>
    </font>
    <font>
      <sz val="13"/>
      <color rgb="FFFF0000"/>
      <name val="Times New Roman"/>
      <family val="1"/>
    </font>
    <font>
      <b/>
      <sz val="13"/>
      <name val="Times New Roman"/>
      <family val="1"/>
    </font>
    <font>
      <sz val="13"/>
      <name val="Times New Roman"/>
      <family val="1"/>
    </font>
    <font>
      <i/>
      <sz val="13"/>
      <name val="Times New Roman"/>
      <family val="1"/>
    </font>
    <font>
      <b/>
      <sz val="14"/>
      <color theme="1"/>
      <name val="Times New Roman"/>
      <family val="1"/>
    </font>
    <font>
      <sz val="14"/>
      <color theme="1"/>
      <name val="Times New Roman"/>
      <family val="1"/>
    </font>
    <font>
      <sz val="13"/>
      <color theme="1"/>
      <name val="Calibri Light"/>
      <family val="1"/>
      <scheme val="major"/>
    </font>
    <font>
      <b/>
      <sz val="13"/>
      <color theme="1"/>
      <name val="Calibri Light"/>
      <family val="1"/>
      <scheme val="major"/>
    </font>
    <font>
      <sz val="13"/>
      <color theme="1"/>
      <name val="Times New Roman"/>
      <family val="2"/>
      <charset val="163"/>
    </font>
    <font>
      <sz val="10"/>
      <color rgb="FF000000"/>
      <name val="Times New Roman"/>
      <family val="1"/>
    </font>
    <font>
      <sz val="11"/>
      <name val="Times New Roman"/>
      <family val="1"/>
    </font>
    <font>
      <b/>
      <i/>
      <sz val="13"/>
      <color theme="1"/>
      <name val="Times New Roman"/>
      <family val="1"/>
    </font>
    <font>
      <sz val="13"/>
      <color rgb="FF7030A0"/>
      <name val="Times New Roman"/>
      <family val="1"/>
    </font>
    <font>
      <b/>
      <sz val="13"/>
      <color theme="1"/>
      <name val="Calibri"/>
      <family val="2"/>
      <charset val="163"/>
      <scheme val="minor"/>
    </font>
    <font>
      <b/>
      <sz val="13"/>
      <color theme="1"/>
      <name val="Calibri"/>
      <family val="2"/>
    </font>
    <font>
      <sz val="13"/>
      <color rgb="FF000000"/>
      <name val="Times New Roman"/>
      <family val="1"/>
    </font>
    <font>
      <sz val="14"/>
      <color rgb="FF000000"/>
      <name val="Times New Roman"/>
      <family val="1"/>
    </font>
    <font>
      <sz val="14"/>
      <name val="Times New Roman"/>
      <family val="1"/>
    </font>
    <font>
      <sz val="13"/>
      <color rgb="FF303030"/>
      <name val="Times New Roman"/>
      <family val="1"/>
    </font>
    <font>
      <sz val="13"/>
      <color rgb="FF111C2D"/>
      <name val="Times New Roman"/>
      <family val="1"/>
    </font>
    <font>
      <sz val="13"/>
      <color rgb="FF252525"/>
      <name val="Times New Roman"/>
      <family val="1"/>
    </font>
  </fonts>
  <fills count="5">
    <fill>
      <patternFill patternType="none"/>
    </fill>
    <fill>
      <patternFill patternType="gray125"/>
    </fill>
    <fill>
      <patternFill patternType="solid">
        <fgColor rgb="FFD9D9D9"/>
        <bgColor indexed="64"/>
      </patternFill>
    </fill>
    <fill>
      <patternFill patternType="solid">
        <fgColor rgb="FFFFFFFF"/>
        <bgColor indexed="64"/>
      </patternFill>
    </fill>
    <fill>
      <patternFill patternType="solid">
        <fgColor rgb="FFF5F5F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8" fillId="0" borderId="0"/>
    <xf numFmtId="0" fontId="19" fillId="0" borderId="0"/>
    <xf numFmtId="9" fontId="20" fillId="0" borderId="0" applyFont="0" applyFill="0" applyBorder="0" applyAlignment="0" applyProtection="0"/>
    <xf numFmtId="0" fontId="21" fillId="0" borderId="0"/>
  </cellStyleXfs>
  <cellXfs count="154">
    <xf numFmtId="0" fontId="0" fillId="0" borderId="0" xfId="0"/>
    <xf numFmtId="0" fontId="1" fillId="0" borderId="1" xfId="0" applyFont="1" applyBorder="1" applyAlignment="1">
      <alignment vertical="center" wrapText="1"/>
    </xf>
    <xf numFmtId="0" fontId="4" fillId="0" borderId="1" xfId="0" applyFont="1" applyBorder="1" applyAlignment="1">
      <alignment horizontal="center" vertical="center" wrapText="1"/>
    </xf>
    <xf numFmtId="0" fontId="1" fillId="0" borderId="0" xfId="0" applyFont="1"/>
    <xf numFmtId="0" fontId="4" fillId="0" borderId="2" xfId="0" applyFont="1" applyBorder="1" applyAlignment="1">
      <alignment horizontal="center" vertical="center" wrapText="1"/>
    </xf>
    <xf numFmtId="0" fontId="7" fillId="0" borderId="0" xfId="0" applyFont="1"/>
    <xf numFmtId="0" fontId="7" fillId="0" borderId="0" xfId="0" applyFont="1" applyAlignment="1">
      <alignment horizontal="center"/>
    </xf>
    <xf numFmtId="0" fontId="1" fillId="0" borderId="2" xfId="0" applyFont="1" applyBorder="1" applyAlignment="1">
      <alignment vertical="center" wrapText="1"/>
    </xf>
    <xf numFmtId="0" fontId="1" fillId="0" borderId="0" xfId="0" applyFont="1" applyAlignment="1">
      <alignment horizontal="right"/>
    </xf>
    <xf numFmtId="0" fontId="2" fillId="0" borderId="0" xfId="0" applyFont="1" applyAlignment="1">
      <alignment horizontal="center"/>
    </xf>
    <xf numFmtId="0" fontId="6" fillId="0" borderId="2" xfId="0" applyFont="1" applyBorder="1" applyAlignment="1">
      <alignment horizontal="center" vertical="center" wrapText="1"/>
    </xf>
    <xf numFmtId="0" fontId="7" fillId="0" borderId="2" xfId="0" applyFont="1" applyBorder="1"/>
    <xf numFmtId="0" fontId="11" fillId="0" borderId="0" xfId="1" applyFont="1"/>
    <xf numFmtId="0" fontId="13" fillId="0" borderId="0" xfId="1" applyFont="1"/>
    <xf numFmtId="0" fontId="12" fillId="0" borderId="1" xfId="1" applyFont="1" applyBorder="1" applyAlignment="1">
      <alignment horizontal="center" vertical="center"/>
    </xf>
    <xf numFmtId="0" fontId="12" fillId="0" borderId="1" xfId="1" applyFont="1" applyBorder="1" applyAlignment="1">
      <alignment horizontal="center" vertical="center" wrapText="1"/>
    </xf>
    <xf numFmtId="0" fontId="13" fillId="0" borderId="0" xfId="1" applyFont="1" applyAlignment="1">
      <alignment horizontal="center"/>
    </xf>
    <xf numFmtId="0" fontId="13" fillId="0" borderId="0" xfId="1" applyFont="1" applyAlignment="1">
      <alignment wrapText="1"/>
    </xf>
    <xf numFmtId="0" fontId="7" fillId="0" borderId="1" xfId="0" applyFont="1" applyBorder="1"/>
    <xf numFmtId="0" fontId="2" fillId="0" borderId="2" xfId="0" quotePrefix="1" applyFont="1" applyBorder="1" applyAlignment="1">
      <alignment horizontal="left" vertical="center" wrapText="1"/>
    </xf>
    <xf numFmtId="0" fontId="2" fillId="0" borderId="1" xfId="0" applyFont="1" applyBorder="1" applyAlignment="1">
      <alignment horizontal="justify" vertical="center" wrapText="1"/>
    </xf>
    <xf numFmtId="0" fontId="17" fillId="0" borderId="0" xfId="0" applyFont="1"/>
    <xf numFmtId="0" fontId="18" fillId="0" borderId="0" xfId="0" applyFont="1" applyAlignment="1">
      <alignment horizontal="right"/>
    </xf>
    <xf numFmtId="0" fontId="18" fillId="0" borderId="0" xfId="0" applyFont="1"/>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1" fillId="0" borderId="2" xfId="0" applyFont="1" applyBorder="1" applyAlignment="1">
      <alignment horizontal="center" vertical="center" wrapText="1"/>
    </xf>
    <xf numFmtId="0" fontId="2" fillId="0" borderId="2" xfId="0" applyFont="1" applyBorder="1" applyAlignment="1">
      <alignment horizontal="left" vertical="center" wrapText="1"/>
    </xf>
    <xf numFmtId="0" fontId="18" fillId="0" borderId="0" xfId="0" applyFont="1" applyAlignment="1">
      <alignment horizontal="center"/>
    </xf>
    <xf numFmtId="0" fontId="17" fillId="0" borderId="0" xfId="0" applyFont="1" applyAlignment="1">
      <alignment horizontal="center"/>
    </xf>
    <xf numFmtId="0" fontId="2" fillId="0" borderId="2" xfId="0" applyFont="1" applyBorder="1" applyAlignment="1">
      <alignment horizontal="left" vertical="center" wrapText="1" indent="1"/>
    </xf>
    <xf numFmtId="0" fontId="3" fillId="0" borderId="2" xfId="0" applyFont="1" applyBorder="1" applyAlignment="1">
      <alignment vertical="center" wrapText="1"/>
    </xf>
    <xf numFmtId="0" fontId="2" fillId="0" borderId="2" xfId="0" applyFont="1" applyBorder="1" applyAlignment="1">
      <alignment horizontal="left" vertical="center" wrapText="1" indent="2"/>
    </xf>
    <xf numFmtId="0" fontId="2" fillId="0" borderId="2" xfId="0" quotePrefix="1" applyFont="1" applyBorder="1" applyAlignment="1">
      <alignment vertical="center" wrapText="1"/>
    </xf>
    <xf numFmtId="0" fontId="2" fillId="0" borderId="2" xfId="0" applyFont="1" applyBorder="1" applyAlignment="1">
      <alignment horizontal="left" vertical="center" wrapText="1" indent="3"/>
    </xf>
    <xf numFmtId="0" fontId="13" fillId="0" borderId="1" xfId="1" applyFont="1" applyBorder="1" applyAlignment="1">
      <alignment horizontal="center" vertical="center"/>
    </xf>
    <xf numFmtId="0" fontId="13" fillId="0" borderId="1" xfId="1" applyFont="1" applyBorder="1" applyAlignment="1">
      <alignment horizontal="left" vertical="center" wrapText="1"/>
    </xf>
    <xf numFmtId="0" fontId="18" fillId="0" borderId="2" xfId="0" applyFont="1" applyBorder="1" applyAlignment="1">
      <alignment horizontal="center" vertical="center" wrapText="1"/>
    </xf>
    <xf numFmtId="0" fontId="17" fillId="0" borderId="2" xfId="0" applyFont="1" applyBorder="1"/>
    <xf numFmtId="0" fontId="18" fillId="0" borderId="0" xfId="0" applyFont="1" applyAlignment="1">
      <alignment horizontal="left"/>
    </xf>
    <xf numFmtId="0" fontId="17" fillId="0" borderId="0" xfId="0" applyFont="1" applyAlignment="1">
      <alignment horizontal="left"/>
    </xf>
    <xf numFmtId="0" fontId="16" fillId="0" borderId="2" xfId="0" applyFont="1" applyBorder="1" applyAlignment="1">
      <alignment horizontal="center" vertical="center" wrapText="1"/>
    </xf>
    <xf numFmtId="0" fontId="16" fillId="0" borderId="2" xfId="0" applyFont="1" applyBorder="1" applyAlignment="1">
      <alignment vertical="center" wrapText="1"/>
    </xf>
    <xf numFmtId="0" fontId="15" fillId="0" borderId="2" xfId="0" applyFont="1" applyBorder="1" applyAlignment="1">
      <alignment horizontal="center" vertical="center" wrapText="1"/>
    </xf>
    <xf numFmtId="0" fontId="14" fillId="0" borderId="0" xfId="1" applyFont="1"/>
    <xf numFmtId="0" fontId="14" fillId="0" borderId="1" xfId="1" applyFont="1" applyBorder="1" applyAlignment="1">
      <alignment horizontal="center" vertical="center"/>
    </xf>
    <xf numFmtId="0" fontId="14" fillId="0" borderId="1" xfId="1" applyFont="1" applyBorder="1" applyAlignment="1">
      <alignment horizontal="left" vertical="center" wrapText="1"/>
    </xf>
    <xf numFmtId="9" fontId="2" fillId="0" borderId="2" xfId="0" applyNumberFormat="1" applyFont="1" applyBorder="1" applyAlignment="1">
      <alignment horizontal="center" vertical="center" wrapText="1"/>
    </xf>
    <xf numFmtId="0" fontId="2" fillId="0" borderId="2" xfId="0" applyFont="1" applyBorder="1" applyAlignment="1">
      <alignment horizontal="justify" vertical="center" wrapText="1"/>
    </xf>
    <xf numFmtId="0" fontId="1" fillId="0" borderId="3" xfId="0" applyFont="1" applyBorder="1" applyAlignment="1">
      <alignment horizontal="center" vertical="center" wrapText="1"/>
    </xf>
    <xf numFmtId="0" fontId="18"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2" xfId="0" quotePrefix="1" applyFont="1" applyBorder="1" applyAlignment="1">
      <alignment horizontal="left" vertical="center" wrapText="1" indent="1"/>
    </xf>
    <xf numFmtId="0" fontId="22" fillId="0" borderId="2" xfId="0" applyFont="1" applyBorder="1" applyAlignment="1">
      <alignment horizontal="center" vertical="center" wrapText="1"/>
    </xf>
    <xf numFmtId="0" fontId="2" fillId="2" borderId="2" xfId="0" applyFont="1" applyFill="1" applyBorder="1" applyAlignment="1">
      <alignment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10" fillId="0" borderId="2" xfId="0" applyFont="1" applyBorder="1" applyAlignment="1">
      <alignment horizontal="left" vertical="center" wrapText="1" indent="2"/>
    </xf>
    <xf numFmtId="0" fontId="10" fillId="0" borderId="2" xfId="0" applyFont="1" applyBorder="1" applyAlignment="1">
      <alignment horizontal="justify" vertical="center" wrapText="1"/>
    </xf>
    <xf numFmtId="0" fontId="1" fillId="0" borderId="2" xfId="0" quotePrefix="1" applyFont="1" applyBorder="1" applyAlignment="1">
      <alignment vertical="center" wrapText="1"/>
    </xf>
    <xf numFmtId="0" fontId="1" fillId="0" borderId="2" xfId="0" applyFont="1" applyBorder="1" applyAlignment="1">
      <alignment horizontal="right" vertical="center" wrapText="1"/>
    </xf>
    <xf numFmtId="0" fontId="1" fillId="0" borderId="0" xfId="0" applyFont="1" applyAlignment="1">
      <alignment horizontal="center"/>
    </xf>
    <xf numFmtId="0" fontId="2" fillId="0" borderId="2" xfId="0" applyFont="1" applyBorder="1" applyAlignment="1">
      <alignment horizontal="center"/>
    </xf>
    <xf numFmtId="0" fontId="2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quotePrefix="1" applyFont="1" applyBorder="1" applyAlignment="1">
      <alignment horizontal="center" vertical="center" wrapText="1"/>
    </xf>
    <xf numFmtId="0" fontId="2" fillId="0" borderId="2" xfId="0" applyFont="1" applyBorder="1" applyAlignment="1">
      <alignment vertical="top" wrapText="1"/>
    </xf>
    <xf numFmtId="0" fontId="2" fillId="0" borderId="2" xfId="0" applyFont="1" applyBorder="1" applyAlignment="1">
      <alignment horizontal="left" vertical="top" wrapText="1"/>
    </xf>
    <xf numFmtId="0" fontId="1" fillId="0" borderId="2" xfId="0" applyFont="1" applyBorder="1" applyAlignment="1">
      <alignment horizontal="right"/>
    </xf>
    <xf numFmtId="0" fontId="24" fillId="0" borderId="0" xfId="0" applyFont="1"/>
    <xf numFmtId="0" fontId="2" fillId="0" borderId="0" xfId="0" applyFont="1" applyAlignment="1">
      <alignment horizontal="center" vertical="center" wrapText="1"/>
    </xf>
    <xf numFmtId="0" fontId="2" fillId="0" borderId="0" xfId="0" applyFont="1" applyAlignment="1">
      <alignment horizontal="left" vertical="center" wrapText="1"/>
    </xf>
    <xf numFmtId="0" fontId="7" fillId="0" borderId="3" xfId="0" applyFont="1" applyBorder="1"/>
    <xf numFmtId="0" fontId="1" fillId="0" borderId="2" xfId="0" applyFont="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right" vertical="center" wrapText="1"/>
    </xf>
    <xf numFmtId="0" fontId="1" fillId="0" borderId="3" xfId="0" applyFont="1" applyBorder="1" applyAlignment="1">
      <alignment horizontal="right"/>
    </xf>
    <xf numFmtId="0" fontId="10" fillId="3" borderId="2" xfId="0" applyFont="1" applyFill="1" applyBorder="1" applyAlignment="1">
      <alignment horizontal="left" vertical="center" wrapText="1" indent="2"/>
    </xf>
    <xf numFmtId="0" fontId="2" fillId="4" borderId="2" xfId="0" applyFont="1" applyFill="1" applyBorder="1" applyAlignment="1">
      <alignment vertical="center" wrapText="1"/>
    </xf>
    <xf numFmtId="0" fontId="2" fillId="3" borderId="2" xfId="0" applyFont="1" applyFill="1" applyBorder="1" applyAlignment="1">
      <alignment vertical="center" wrapText="1"/>
    </xf>
    <xf numFmtId="0" fontId="2" fillId="3" borderId="2" xfId="0" applyFont="1" applyFill="1" applyBorder="1" applyAlignment="1">
      <alignment horizontal="justify"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right" vertical="center" wrapText="1"/>
    </xf>
    <xf numFmtId="0" fontId="7" fillId="0" borderId="2" xfId="0" applyFont="1" applyBorder="1" applyAlignment="1">
      <alignment vertical="top" wrapText="1"/>
    </xf>
    <xf numFmtId="0" fontId="2" fillId="0" borderId="1" xfId="0" quotePrefix="1" applyFont="1" applyBorder="1" applyAlignment="1">
      <alignment vertical="center" wrapText="1"/>
    </xf>
    <xf numFmtId="0" fontId="26" fillId="3" borderId="1" xfId="0" applyFont="1" applyFill="1" applyBorder="1" applyAlignment="1">
      <alignment horizontal="center" vertical="center" wrapText="1"/>
    </xf>
    <xf numFmtId="0" fontId="26" fillId="3" borderId="1" xfId="0" applyFont="1" applyFill="1" applyBorder="1" applyAlignment="1">
      <alignment horizontal="justify" vertical="center" wrapText="1"/>
    </xf>
    <xf numFmtId="0" fontId="26" fillId="3" borderId="1" xfId="0" applyFont="1" applyFill="1" applyBorder="1" applyAlignment="1">
      <alignment vertical="center" wrapText="1"/>
    </xf>
    <xf numFmtId="0" fontId="26" fillId="0" borderId="1" xfId="0" applyFont="1" applyBorder="1" applyAlignment="1">
      <alignment horizontal="justify" vertical="center" wrapText="1"/>
    </xf>
    <xf numFmtId="0" fontId="13" fillId="0" borderId="1" xfId="1" applyFont="1" applyBorder="1" applyAlignment="1">
      <alignment horizontal="left" vertical="center"/>
    </xf>
    <xf numFmtId="0" fontId="12" fillId="0" borderId="0" xfId="1" applyFont="1"/>
    <xf numFmtId="0" fontId="12" fillId="0" borderId="1" xfId="1" applyFont="1" applyBorder="1" applyAlignment="1">
      <alignment horizontal="left" vertical="center" wrapText="1"/>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13" fillId="0" borderId="2" xfId="0" applyFont="1" applyBorder="1" applyAlignment="1">
      <alignment horizontal="center" vertical="center"/>
    </xf>
    <xf numFmtId="0" fontId="16" fillId="0" borderId="10" xfId="0" applyFont="1" applyBorder="1" applyAlignment="1">
      <alignment horizontal="center" vertical="center" wrapText="1"/>
    </xf>
    <xf numFmtId="0" fontId="27" fillId="0" borderId="11" xfId="0" applyFont="1" applyBorder="1" applyAlignment="1">
      <alignment horizontal="center" vertical="center" wrapText="1"/>
    </xf>
    <xf numFmtId="0" fontId="16" fillId="0" borderId="11" xfId="0" applyFont="1" applyBorder="1" applyAlignment="1">
      <alignment horizontal="center" vertical="center" wrapText="1"/>
    </xf>
    <xf numFmtId="0" fontId="18" fillId="0" borderId="0" xfId="0" applyFont="1" applyAlignment="1">
      <alignment horizontal="center" vertical="center"/>
    </xf>
    <xf numFmtId="0" fontId="17" fillId="0" borderId="2" xfId="0" applyFont="1" applyBorder="1" applyAlignment="1">
      <alignment horizontal="center" vertical="center"/>
    </xf>
    <xf numFmtId="0" fontId="17" fillId="0" borderId="0" xfId="0" applyFont="1" applyAlignment="1">
      <alignment horizontal="center" vertical="center"/>
    </xf>
    <xf numFmtId="0" fontId="28"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 fillId="0" borderId="7" xfId="0" applyFont="1" applyBorder="1" applyAlignment="1">
      <alignment horizontal="center" vertical="center" wrapText="1"/>
    </xf>
    <xf numFmtId="0" fontId="1" fillId="0" borderId="0" xfId="0" applyFont="1" applyAlignment="1">
      <alignment vertical="center"/>
    </xf>
    <xf numFmtId="0" fontId="7" fillId="0" borderId="2" xfId="0" applyFont="1" applyBorder="1" applyAlignment="1">
      <alignment vertical="center"/>
    </xf>
    <xf numFmtId="0" fontId="24" fillId="0" borderId="2" xfId="0" applyFont="1" applyBorder="1" applyAlignment="1">
      <alignment vertical="center"/>
    </xf>
    <xf numFmtId="0" fontId="7" fillId="0" borderId="7" xfId="0" applyFont="1" applyBorder="1" applyAlignment="1">
      <alignment vertical="center"/>
    </xf>
    <xf numFmtId="0" fontId="7" fillId="0" borderId="3" xfId="0" applyFont="1" applyBorder="1" applyAlignment="1">
      <alignment vertical="center"/>
    </xf>
    <xf numFmtId="0" fontId="13" fillId="0" borderId="0" xfId="0" applyFont="1" applyAlignment="1">
      <alignment horizontal="center" vertical="center"/>
    </xf>
    <xf numFmtId="0" fontId="2" fillId="0" borderId="2" xfId="0" applyFont="1" applyBorder="1" applyAlignment="1">
      <alignment horizontal="center" wrapText="1"/>
    </xf>
    <xf numFmtId="0" fontId="29" fillId="0" borderId="0" xfId="0" applyFont="1" applyAlignment="1">
      <alignment horizontal="center" vertical="center" wrapText="1"/>
    </xf>
    <xf numFmtId="0" fontId="2" fillId="0" borderId="0" xfId="0" applyFont="1" applyAlignment="1">
      <alignment horizontal="center" vertical="center"/>
    </xf>
    <xf numFmtId="0" fontId="30" fillId="0" borderId="1" xfId="0" applyFont="1" applyBorder="1" applyAlignment="1">
      <alignment horizontal="center" vertical="center"/>
    </xf>
    <xf numFmtId="0" fontId="13" fillId="0" borderId="0" xfId="0" applyFont="1" applyAlignment="1">
      <alignment horizontal="left" vertical="center" wrapText="1"/>
    </xf>
    <xf numFmtId="0" fontId="2" fillId="0" borderId="1" xfId="0" applyFont="1" applyBorder="1"/>
    <xf numFmtId="0" fontId="2" fillId="0" borderId="1" xfId="0" applyFont="1" applyBorder="1" applyAlignment="1">
      <alignment wrapText="1"/>
    </xf>
    <xf numFmtId="0" fontId="31" fillId="0" borderId="1" xfId="0" applyFont="1" applyBorder="1" applyAlignment="1">
      <alignment horizontal="center" vertical="center" wrapText="1"/>
    </xf>
    <xf numFmtId="0" fontId="26" fillId="0" borderId="1" xfId="0" applyFont="1" applyBorder="1" applyAlignment="1">
      <alignment horizontal="center" vertical="center"/>
    </xf>
    <xf numFmtId="0" fontId="7" fillId="0" borderId="0" xfId="0" applyFont="1" applyAlignment="1">
      <alignment vertical="center"/>
    </xf>
    <xf numFmtId="0" fontId="1" fillId="0" borderId="2" xfId="0" applyFont="1" applyBorder="1" applyAlignment="1">
      <alignment horizontal="center" vertical="center"/>
    </xf>
    <xf numFmtId="0" fontId="13" fillId="0" borderId="0" xfId="1" quotePrefix="1" applyFont="1" applyAlignment="1">
      <alignment horizontal="left" vertical="center" wrapText="1"/>
    </xf>
    <xf numFmtId="0" fontId="13" fillId="0" borderId="0" xfId="1" applyFont="1" applyAlignment="1">
      <alignment horizontal="left" vertical="center" wrapText="1"/>
    </xf>
    <xf numFmtId="0" fontId="12" fillId="0" borderId="0" xfId="1" applyFont="1" applyAlignment="1">
      <alignment horizontal="center" vertical="center"/>
    </xf>
    <xf numFmtId="0" fontId="2" fillId="0" borderId="2" xfId="0" applyFont="1" applyBorder="1" applyAlignment="1">
      <alignmen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1" fillId="0" borderId="2" xfId="0" applyFont="1" applyBorder="1" applyAlignment="1">
      <alignment horizontal="left" vertical="center" wrapText="1"/>
    </xf>
    <xf numFmtId="0" fontId="2" fillId="0" borderId="2" xfId="0" applyFont="1" applyBorder="1" applyAlignment="1">
      <alignment horizontal="left" vertical="center" wrapText="1" indent="8"/>
    </xf>
    <xf numFmtId="0" fontId="1" fillId="0" borderId="2" xfId="0" applyFont="1" applyBorder="1" applyAlignment="1">
      <alignment vertical="center" wrapText="1"/>
    </xf>
    <xf numFmtId="0" fontId="1" fillId="0" borderId="2" xfId="0" applyFont="1" applyBorder="1" applyAlignment="1">
      <alignment horizontal="left" vertical="top" wrapText="1" inden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left" vertical="center" wrapText="1"/>
    </xf>
    <xf numFmtId="0" fontId="2" fillId="0" borderId="7" xfId="0" applyFont="1" applyBorder="1" applyAlignment="1">
      <alignment horizontal="left" vertical="center" wrapText="1"/>
    </xf>
    <xf numFmtId="0" fontId="1" fillId="0" borderId="2"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vertical="center" wrapText="1"/>
    </xf>
    <xf numFmtId="0" fontId="2" fillId="0" borderId="6" xfId="0" applyFont="1" applyBorder="1" applyAlignment="1">
      <alignment horizontal="center" vertical="center" wrapText="1"/>
    </xf>
    <xf numFmtId="0" fontId="1" fillId="0" borderId="3" xfId="0" applyFont="1" applyBorder="1" applyAlignment="1">
      <alignment horizontal="center" vertical="center" wrapText="1"/>
    </xf>
    <xf numFmtId="0" fontId="2" fillId="4" borderId="2" xfId="0" applyFont="1" applyFill="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6" fillId="3" borderId="1" xfId="0" applyFont="1" applyFill="1" applyBorder="1" applyAlignment="1">
      <alignment horizontal="center" vertical="center" wrapText="1"/>
    </xf>
    <xf numFmtId="0" fontId="26" fillId="3" borderId="1" xfId="0" applyFont="1" applyFill="1" applyBorder="1" applyAlignment="1">
      <alignment horizontal="justify" vertical="center"/>
    </xf>
    <xf numFmtId="0" fontId="26" fillId="3" borderId="1" xfId="0" applyFont="1" applyFill="1" applyBorder="1" applyAlignment="1">
      <alignment horizontal="justify" vertical="center" wrapText="1"/>
    </xf>
    <xf numFmtId="0" fontId="14" fillId="0" borderId="1" xfId="1" applyFont="1" applyBorder="1" applyAlignment="1">
      <alignment horizontal="left" vertical="center"/>
    </xf>
  </cellXfs>
  <cellStyles count="5">
    <cellStyle name="Normal" xfId="0" builtinId="0"/>
    <cellStyle name="Normal 2 3" xfId="4" xr:uid="{00000000-0005-0000-0000-000001000000}"/>
    <cellStyle name="Normal 3" xfId="1" xr:uid="{00000000-0005-0000-0000-000002000000}"/>
    <cellStyle name="Normal 3 2" xfId="2" xr:uid="{00000000-0005-0000-0000-000003000000}"/>
    <cellStyle name="Percent 2"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5"/>
  <sheetViews>
    <sheetView tabSelected="1" view="pageBreakPreview" topLeftCell="B1" zoomScale="115" zoomScaleNormal="100" zoomScaleSheetLayoutView="115" workbookViewId="0">
      <selection activeCell="C79" sqref="C79"/>
    </sheetView>
  </sheetViews>
  <sheetFormatPr defaultColWidth="9.109375" defaultRowHeight="16.8" x14ac:dyDescent="0.3"/>
  <cols>
    <col min="1" max="1" width="5.21875" style="13" hidden="1" customWidth="1"/>
    <col min="2" max="2" width="7.33203125" style="16" customWidth="1"/>
    <col min="3" max="3" width="44.33203125" style="17" customWidth="1"/>
    <col min="4" max="4" width="34.33203125" style="92" customWidth="1"/>
    <col min="5" max="16384" width="9.109375" style="13"/>
  </cols>
  <sheetData>
    <row r="1" spans="1:4" x14ac:dyDescent="0.3">
      <c r="A1" s="12"/>
      <c r="B1" s="126" t="s">
        <v>42</v>
      </c>
      <c r="C1" s="126"/>
      <c r="D1" s="126"/>
    </row>
    <row r="2" spans="1:4" ht="62.25" customHeight="1" x14ac:dyDescent="0.3">
      <c r="A2" s="124" t="s">
        <v>229</v>
      </c>
      <c r="B2" s="125"/>
      <c r="C2" s="125"/>
      <c r="D2" s="125"/>
    </row>
    <row r="3" spans="1:4" x14ac:dyDescent="0.3">
      <c r="B3" s="14" t="s">
        <v>11</v>
      </c>
      <c r="C3" s="15" t="s">
        <v>43</v>
      </c>
      <c r="D3" s="15" t="s">
        <v>44</v>
      </c>
    </row>
    <row r="4" spans="1:4" s="92" customFormat="1" ht="50.4" x14ac:dyDescent="0.3">
      <c r="B4" s="14">
        <v>1</v>
      </c>
      <c r="C4" s="93" t="str">
        <f>+'1.HT TTLL'!B1</f>
        <v>HỆ THỐNG THÔNG TIN LIÊN LẠC (Switch distribute, Firewall, IP phone,…)</v>
      </c>
      <c r="D4" s="15"/>
    </row>
    <row r="5" spans="1:4" s="44" customFormat="1" x14ac:dyDescent="0.3">
      <c r="B5" s="45" t="s">
        <v>195</v>
      </c>
      <c r="C5" s="46" t="str">
        <f>+LOWER('1.HT TTLL'!B3)</f>
        <v>tủ thiết bị thông tin</v>
      </c>
      <c r="D5" s="15" t="str">
        <f>'1.HT TTLL'!D4</f>
        <v>TITSMART/Việt Nam</v>
      </c>
    </row>
    <row r="6" spans="1:4" s="44" customFormat="1" x14ac:dyDescent="0.3">
      <c r="B6" s="45" t="s">
        <v>196</v>
      </c>
      <c r="C6" s="46" t="str">
        <f>+'1.HT TTLL'!B15</f>
        <v>Switch distribute (layer 3)</v>
      </c>
      <c r="D6" s="15" t="str">
        <f>'1.HT TTLL'!D16 &amp; "/" &amp; '1.HT TTLL'!D17</f>
        <v>Advantech /Đài Loan</v>
      </c>
    </row>
    <row r="7" spans="1:4" s="44" customFormat="1" x14ac:dyDescent="0.3">
      <c r="B7" s="45" t="s">
        <v>197</v>
      </c>
      <c r="C7" s="46" t="str">
        <f>+'1.HT TTLL'!B36</f>
        <v>Firewall</v>
      </c>
      <c r="D7" s="15" t="str">
        <f>'1.HT TTLL'!D37&amp; "/"&amp;'1.HT TTLL'!D38</f>
        <v>Checkpoint/Đài Loan</v>
      </c>
    </row>
    <row r="8" spans="1:4" s="44" customFormat="1" x14ac:dyDescent="0.3">
      <c r="B8" s="45" t="s">
        <v>198</v>
      </c>
      <c r="C8" s="46" t="str">
        <f>+'1.HT TTLL'!B72</f>
        <v>IP Phone</v>
      </c>
      <c r="D8" s="15" t="str">
        <f>'1.HT TTLL'!D73 &amp; "/" &amp;'1.HT TTLL'!D74</f>
        <v>Cisco/VN/Trung Quốc</v>
      </c>
    </row>
    <row r="9" spans="1:4" s="92" customFormat="1" x14ac:dyDescent="0.3">
      <c r="B9" s="14">
        <v>2</v>
      </c>
      <c r="C9" s="93" t="str">
        <f>+'2.HT SCADA'!B1</f>
        <v>HỆ THỐNG SCADA TBA110kV</v>
      </c>
      <c r="D9" s="15"/>
    </row>
    <row r="10" spans="1:4" s="44" customFormat="1" x14ac:dyDescent="0.3">
      <c r="B10" s="45" t="s">
        <v>199</v>
      </c>
      <c r="C10" s="46" t="str">
        <f>+'2.HT SCADA'!B5</f>
        <v>Gateway/RTU</v>
      </c>
      <c r="D10" s="15" t="str">
        <f>'2.HT SCADA'!D10</f>
        <v>TITSMART/Việt Nam</v>
      </c>
    </row>
    <row r="11" spans="1:4" s="44" customFormat="1" x14ac:dyDescent="0.3">
      <c r="B11" s="45" t="s">
        <v>200</v>
      </c>
      <c r="C11" s="46" t="str">
        <f>+'2.HT SCADA'!B9</f>
        <v>Tủ Gateway/RTU</v>
      </c>
      <c r="D11" s="15" t="str">
        <f>'2.HT SCADA'!D10</f>
        <v>TITSMART/Việt Nam</v>
      </c>
    </row>
    <row r="12" spans="1:4" s="44" customFormat="1" x14ac:dyDescent="0.3">
      <c r="B12" s="45" t="s">
        <v>201</v>
      </c>
      <c r="C12" s="46" t="str">
        <f>+'2.HT SCADA'!B20</f>
        <v>RTU</v>
      </c>
      <c r="D12" s="15" t="str">
        <f>'2.HT SCADA'!D21</f>
        <v>ABB /Đức</v>
      </c>
    </row>
    <row r="13" spans="1:4" s="44" customFormat="1" x14ac:dyDescent="0.3">
      <c r="B13" s="45" t="s">
        <v>202</v>
      </c>
      <c r="C13" s="46" t="str">
        <f>+'2.HT SCADA'!B52</f>
        <v>Phần mềm Gateway và HMI</v>
      </c>
      <c r="D13" s="15" t="str">
        <f>'2.HT SCADA'!D53&amp; "/" &amp;'2.HT SCADA'!D54</f>
        <v xml:space="preserve">Canada/Survalent </v>
      </c>
    </row>
    <row r="14" spans="1:4" s="44" customFormat="1" x14ac:dyDescent="0.3">
      <c r="B14" s="45" t="s">
        <v>203</v>
      </c>
      <c r="C14" s="46" t="str">
        <f>+'2.HT SCADA'!B138</f>
        <v>Thiết bị Ethernet Switch Access</v>
      </c>
      <c r="D14" s="15" t="str">
        <f>'2.HT SCADA'!D139</f>
        <v>Advantech/Trung Quốc</v>
      </c>
    </row>
    <row r="15" spans="1:4" s="44" customFormat="1" x14ac:dyDescent="0.3">
      <c r="B15" s="45" t="s">
        <v>204</v>
      </c>
      <c r="C15" s="46" t="str">
        <f>+'2.HT SCADA'!B169</f>
        <v>Máy tính HMI (Desktop)</v>
      </c>
      <c r="D15" s="15" t="str">
        <f>'2.HT SCADA'!D170</f>
        <v>Advantech/Trung Quốc</v>
      </c>
    </row>
    <row r="16" spans="1:4" s="44" customFormat="1" x14ac:dyDescent="0.3">
      <c r="B16" s="45" t="s">
        <v>205</v>
      </c>
      <c r="C16" s="46" t="str">
        <f>+'2.HT SCADA'!B189</f>
        <v>Màn hình LCD</v>
      </c>
      <c r="D16" s="15" t="str">
        <f>'2.HT SCADA'!D190</f>
        <v>Viewsonic/Trung Quốc</v>
      </c>
    </row>
    <row r="17" spans="2:4" s="44" customFormat="1" ht="33.6" x14ac:dyDescent="0.3">
      <c r="B17" s="45" t="s">
        <v>206</v>
      </c>
      <c r="C17" s="46" t="str">
        <f>+'2.HT SCADA'!B202</f>
        <v>MÁY TÍNH Gateway</v>
      </c>
      <c r="D17" s="15" t="str">
        <f>'2.HT SCADA'!D203</f>
        <v>Advantech/Trung Quốc+ Đài Loan</v>
      </c>
    </row>
    <row r="18" spans="2:4" s="44" customFormat="1" ht="33.6" x14ac:dyDescent="0.3">
      <c r="B18" s="45" t="s">
        <v>207</v>
      </c>
      <c r="C18" s="46" t="str">
        <f>+'2.HT SCADA'!B232</f>
        <v>Inverter 220VAC &amp; 110VDC ® 220VAC, 2000VA (power supply):</v>
      </c>
      <c r="D18" s="15" t="str">
        <f>'2.HT SCADA'!D233</f>
        <v>IdealPlusing/Trung Quốc</v>
      </c>
    </row>
    <row r="19" spans="2:4" s="44" customFormat="1" x14ac:dyDescent="0.3">
      <c r="B19" s="45" t="s">
        <v>208</v>
      </c>
      <c r="C19" s="46" t="str">
        <f>+'2.HT SCADA'!B250</f>
        <v>Thiết bị đồng bộ thời gian GPS clock</v>
      </c>
      <c r="D19" s="15" t="str">
        <f>'2.HT SCADA'!D251</f>
        <v>Kyland/Trung Quốc</v>
      </c>
    </row>
    <row r="20" spans="2:4" s="44" customFormat="1" x14ac:dyDescent="0.3">
      <c r="B20" s="45" t="s">
        <v>209</v>
      </c>
      <c r="C20" s="46" t="str">
        <f>+'2.HT SCADA'!B261</f>
        <v>Thiết bị SCADA Firewall</v>
      </c>
      <c r="D20" s="15" t="str">
        <f>'2.HT SCADA'!D262</f>
        <v>Checkpoint/Đài Loan</v>
      </c>
    </row>
    <row r="21" spans="2:4" s="44" customFormat="1" x14ac:dyDescent="0.3">
      <c r="B21" s="45" t="s">
        <v>210</v>
      </c>
      <c r="C21" s="46" t="str">
        <f>+'2.HT SCADA'!B297</f>
        <v>MCB</v>
      </c>
      <c r="D21" s="15" t="str">
        <f>'2.HT SCADA'!D298</f>
        <v>Noark/Trung Quốc</v>
      </c>
    </row>
    <row r="22" spans="2:4" s="44" customFormat="1" x14ac:dyDescent="0.3">
      <c r="B22" s="45" t="s">
        <v>211</v>
      </c>
      <c r="C22" s="46" t="str">
        <f>+'2.HT SCADA'!B302</f>
        <v>Rơle trung gian</v>
      </c>
      <c r="D22" s="15" t="str">
        <f>'2.HT SCADA'!D303</f>
        <v>Phoenix/ Áo</v>
      </c>
    </row>
    <row r="23" spans="2:4" s="44" customFormat="1" x14ac:dyDescent="0.3">
      <c r="B23" s="45" t="s">
        <v>1443</v>
      </c>
      <c r="C23" s="46" t="str">
        <f>+'2.HT SCADA'!B306</f>
        <v>Hàng kẹp</v>
      </c>
      <c r="D23" s="15" t="str">
        <f>'2.HT SCADA'!D307</f>
        <v>Phoenix/ Trung Quốc</v>
      </c>
    </row>
    <row r="24" spans="2:4" s="44" customFormat="1" x14ac:dyDescent="0.3">
      <c r="B24" s="45" t="s">
        <v>1444</v>
      </c>
      <c r="C24" s="46" t="str">
        <f>+'2.HT SCADA'!B309</f>
        <v>Cáp điều khiển</v>
      </c>
      <c r="D24" s="15" t="str">
        <f>'2.HT SCADA'!D310</f>
        <v>Cadivi/Việt Nam</v>
      </c>
    </row>
    <row r="25" spans="2:4" s="92" customFormat="1" x14ac:dyDescent="0.3">
      <c r="B25" s="14">
        <v>3</v>
      </c>
      <c r="C25" s="93" t="s">
        <v>1445</v>
      </c>
      <c r="D25" s="15"/>
    </row>
    <row r="26" spans="2:4" s="44" customFormat="1" x14ac:dyDescent="0.3">
      <c r="B26" s="45" t="s">
        <v>79</v>
      </c>
      <c r="C26" s="46" t="str">
        <f>+'3.Camera'!B4</f>
        <v>Camera hàng rào quanh trạm</v>
      </c>
      <c r="D26" s="15" t="str">
        <f>'3.Camera'!D7&amp; "/" &amp;'3.Camera'!D8</f>
        <v>Hikvision/Trung Quốc</v>
      </c>
    </row>
    <row r="27" spans="2:4" s="44" customFormat="1" x14ac:dyDescent="0.3">
      <c r="B27" s="45" t="s">
        <v>80</v>
      </c>
      <c r="C27" s="46" t="str">
        <f>+'3.Camera'!B36</f>
        <v>Camera PTZ Dome sân ngắt</v>
      </c>
      <c r="D27" s="15" t="str">
        <f>'3.Camera'!D39&amp; "/" &amp;'3.Camera'!D40</f>
        <v>Hikvision/Trung Quốc</v>
      </c>
    </row>
    <row r="28" spans="2:4" s="44" customFormat="1" x14ac:dyDescent="0.3">
      <c r="B28" s="45" t="s">
        <v>212</v>
      </c>
      <c r="C28" s="46" t="str">
        <f>+'3.Camera'!B69</f>
        <v>Camera cố định trong nhà</v>
      </c>
      <c r="D28" s="15" t="str">
        <f>'3.Camera'!D72&amp; "/" &amp;'3.Camera'!D73</f>
        <v>Hikvision/Trung Quốc</v>
      </c>
    </row>
    <row r="29" spans="2:4" s="44" customFormat="1" x14ac:dyDescent="0.3">
      <c r="B29" s="45" t="s">
        <v>213</v>
      </c>
      <c r="C29" s="46" t="str">
        <f>+'3.Camera'!B101</f>
        <v>Thiết bị mạng Switch tại TBA</v>
      </c>
      <c r="D29" s="15" t="str">
        <f>'3.Camera'!D104&amp; "/" &amp;'3.Camera'!D105</f>
        <v>Juniper/Trung Quốc</v>
      </c>
    </row>
    <row r="30" spans="2:4" s="44" customFormat="1" x14ac:dyDescent="0.3">
      <c r="B30" s="45" t="s">
        <v>214</v>
      </c>
      <c r="C30" s="46" t="str">
        <f>+'3.Camera'!B133</f>
        <v>Hệ thống kiểm soát ra vào</v>
      </c>
      <c r="D30" s="15" t="str">
        <f>'3.Camera'!D136&amp; "/" &amp;'3.Camera'!D137</f>
        <v>Soyal/Đài Loan + China</v>
      </c>
    </row>
    <row r="31" spans="2:4" s="44" customFormat="1" ht="33.6" x14ac:dyDescent="0.3">
      <c r="B31" s="45" t="s">
        <v>215</v>
      </c>
      <c r="C31" s="46" t="str">
        <f>+'3.Camera'!B199</f>
        <v>Thiết bị Trung tâm truyền tin &amp; điều khiển chuyên dụng</v>
      </c>
      <c r="D31" s="15" t="str">
        <f>'3.Camera'!D202&amp; "/" &amp;'3.Camera'!D203</f>
        <v>3S/Việt Nam</v>
      </c>
    </row>
    <row r="32" spans="2:4" s="44" customFormat="1" x14ac:dyDescent="0.3">
      <c r="B32" s="45" t="s">
        <v>216</v>
      </c>
      <c r="C32" s="46" t="str">
        <f>+'3.Camera'!B227</f>
        <v>Thiết bị ghi hình và phân tích hình ảnh</v>
      </c>
      <c r="D32" s="15" t="str">
        <f>'3.Camera'!D230&amp; "/" &amp;'3.Camera'!D231</f>
        <v>Hikvision/Trung Quốc</v>
      </c>
    </row>
    <row r="33" spans="2:4" s="44" customFormat="1" x14ac:dyDescent="0.3">
      <c r="B33" s="45" t="s">
        <v>217</v>
      </c>
      <c r="C33" s="46" t="str">
        <f>+'3.Camera'!B260</f>
        <v>Thiết bị chuyển đổi nguồn điện</v>
      </c>
      <c r="D33" s="15" t="str">
        <f>'3.Camera'!D263&amp; "/" &amp;'3.Camera'!D264</f>
        <v>IdealPlusing/Trung Quốc</v>
      </c>
    </row>
    <row r="34" spans="2:4" s="44" customFormat="1" x14ac:dyDescent="0.3">
      <c r="B34" s="45" t="s">
        <v>218</v>
      </c>
      <c r="C34" s="46" t="str">
        <f>+'3.Camera'!B283</f>
        <v>Tủ Rack 19inche</v>
      </c>
      <c r="D34" s="15" t="str">
        <f>'3.Camera'!D286&amp; "/" &amp;'3.Camera'!D287</f>
        <v>TMC/Việt Nam</v>
      </c>
    </row>
    <row r="35" spans="2:4" s="44" customFormat="1" x14ac:dyDescent="0.3">
      <c r="B35" s="45" t="s">
        <v>219</v>
      </c>
      <c r="C35" s="46" t="str">
        <f>+'3.Camera'!B300</f>
        <v>Màn hình vi tính</v>
      </c>
      <c r="D35" s="15" t="str">
        <f>'3.Camera'!D303&amp; "/" &amp;'3.Camera'!D304</f>
        <v>ViewSonic/Trung Quốc</v>
      </c>
    </row>
    <row r="36" spans="2:4" s="92" customFormat="1" x14ac:dyDescent="0.3">
      <c r="B36" s="14">
        <v>4</v>
      </c>
      <c r="C36" s="93" t="s">
        <v>1446</v>
      </c>
      <c r="D36" s="15"/>
    </row>
    <row r="37" spans="2:4" x14ac:dyDescent="0.3">
      <c r="B37" s="35" t="s">
        <v>220</v>
      </c>
      <c r="C37" s="36" t="str">
        <f>+'4.HT PCCC'!B2</f>
        <v>Hệ thống báo cháy</v>
      </c>
      <c r="D37" s="15"/>
    </row>
    <row r="38" spans="2:4" s="44" customFormat="1" x14ac:dyDescent="0.3">
      <c r="B38" s="45" t="str">
        <f>+'4.HT PCCC'!A5</f>
        <v>4.1.1</v>
      </c>
      <c r="C38" s="46" t="str">
        <f>+'4.HT PCCC'!B5</f>
        <v>Tủ báo cháy trung tâm địa chỉ</v>
      </c>
      <c r="D38" s="15" t="str">
        <f>'4.HT PCCC'!D8&amp; "/" &amp;'4.HT PCCC'!D9</f>
        <v>Hochiki /United Kingdom</v>
      </c>
    </row>
    <row r="39" spans="2:4" s="44" customFormat="1" x14ac:dyDescent="0.3">
      <c r="B39" s="45" t="str">
        <f>+'4.HT PCCC'!A42</f>
        <v>4.1.2</v>
      </c>
      <c r="C39" s="46" t="str">
        <f>+'4.HT PCCC'!B42</f>
        <v>Đầu dò tích hợp khói và nhiệt loại địa chỉ</v>
      </c>
      <c r="D39" s="15" t="str">
        <f>'4.HT PCCC'!D45&amp; "/" &amp;'4.HT PCCC'!D46</f>
        <v>Hochiki/United Kingdom</v>
      </c>
    </row>
    <row r="40" spans="2:4" s="44" customFormat="1" x14ac:dyDescent="0.3">
      <c r="B40" s="45" t="str">
        <f>+'4.HT PCCC'!A64</f>
        <v>4.1.3</v>
      </c>
      <c r="C40" s="46" t="str">
        <f>+'4.HT PCCC'!B64</f>
        <v>Đầu dò nhiệt chống nổ</v>
      </c>
      <c r="D40" s="15" t="str">
        <f>'4.HT PCCC'!D67&amp; "/" &amp;'4.HT PCCC'!D68</f>
        <v>Hochiki/Japan</v>
      </c>
    </row>
    <row r="41" spans="2:4" s="44" customFormat="1" ht="33.6" x14ac:dyDescent="0.3">
      <c r="B41" s="45" t="str">
        <f>+'4.HT PCCC'!A84</f>
        <v>4.1.4</v>
      </c>
      <c r="C41" s="46" t="str">
        <f>+'4.HT PCCC'!B84</f>
        <v>Còi tích hợp đèn chớp báo cháy loại trong nhà</v>
      </c>
      <c r="D41" s="123" t="str">
        <f>'4.HT PCCC'!D87&amp; "/" &amp;'4.HT PCCC'!D88</f>
        <v>Hochiki/USA</v>
      </c>
    </row>
    <row r="42" spans="2:4" s="44" customFormat="1" x14ac:dyDescent="0.3">
      <c r="B42" s="45" t="str">
        <f>+'4.HT PCCC'!A104</f>
        <v>4.1.5</v>
      </c>
      <c r="C42" s="46" t="str">
        <f>+'4.HT PCCC'!B104</f>
        <v>Nút báo cháy khẩn cấp loại trong nhà</v>
      </c>
      <c r="D42" s="123" t="str">
        <f>'4.HT PCCC'!D107&amp; "/" &amp;'4.HT PCCC'!D108</f>
        <v>Hochiki/USA</v>
      </c>
    </row>
    <row r="43" spans="2:4" s="44" customFormat="1" ht="33.6" x14ac:dyDescent="0.3">
      <c r="B43" s="45" t="str">
        <f>+'4.HT PCCC'!A124</f>
        <v>4.1.6</v>
      </c>
      <c r="C43" s="46" t="str">
        <f>+'4.HT PCCC'!B124</f>
        <v>Còi tích hợp đèn chớp báo cháy loại ngoài trời</v>
      </c>
      <c r="D43" s="123" t="str">
        <f>'4.HT PCCC'!D127&amp; "/" &amp;'4.HT PCCC'!D128</f>
        <v>Hochiki/USA</v>
      </c>
    </row>
    <row r="44" spans="2:4" s="44" customFormat="1" x14ac:dyDescent="0.3">
      <c r="B44" s="45" t="str">
        <f>+'4.HT PCCC'!A145</f>
        <v>4.1.7</v>
      </c>
      <c r="C44" s="46" t="str">
        <f>+'4.HT PCCC'!B145</f>
        <v>Nút báo cháy khẩn cấp loại ngoài trời</v>
      </c>
      <c r="D44" s="123" t="str">
        <f>'4.HT PCCC'!D148&amp; "/" &amp;'4.HT PCCC'!D149</f>
        <v>Hochiki/USA</v>
      </c>
    </row>
    <row r="45" spans="2:4" s="44" customFormat="1" ht="33.6" x14ac:dyDescent="0.3">
      <c r="B45" s="45" t="str">
        <f>+'4.HT PCCC'!A166</f>
        <v>4.1.8</v>
      </c>
      <c r="C45" s="46" t="str">
        <f>+'4.HT PCCC'!B166</f>
        <v>Moduler đầu vào điều khiển các thiết bị không địa chỉ</v>
      </c>
      <c r="D45" s="123" t="str">
        <f>'4.HT PCCC'!D169&amp; "/" &amp;'4.HT PCCC'!D170</f>
        <v>Hochiki/USA</v>
      </c>
    </row>
    <row r="46" spans="2:4" s="44" customFormat="1" ht="33.6" x14ac:dyDescent="0.3">
      <c r="B46" s="45" t="str">
        <f>+'4.HT PCCC'!A187</f>
        <v>4.1.9</v>
      </c>
      <c r="C46" s="46" t="str">
        <f>+'4.HT PCCC'!B187</f>
        <v>Moduler đầu ra điều khiển các thiết bị không địa chỉ</v>
      </c>
      <c r="D46" s="123" t="str">
        <f>'4.HT PCCC'!D190&amp; "/" &amp;'4.HT PCCC'!D191</f>
        <v>Hochiki/USA</v>
      </c>
    </row>
    <row r="47" spans="2:4" s="44" customFormat="1" x14ac:dyDescent="0.3">
      <c r="B47" s="45" t="str">
        <f>+'4.HT PCCC'!A207</f>
        <v>4.1.10</v>
      </c>
      <c r="C47" s="46" t="str">
        <f>+'4.HT PCCC'!B207</f>
        <v>Moduler cách ly</v>
      </c>
      <c r="D47" s="123" t="str">
        <f>'4.HT PCCC'!D210&amp; "/" &amp;'4.HT PCCC'!D211</f>
        <v>Hochiki/USA</v>
      </c>
    </row>
    <row r="48" spans="2:4" s="44" customFormat="1" x14ac:dyDescent="0.3">
      <c r="B48" s="45" t="str">
        <f>+'4.HT PCCC'!A227</f>
        <v>4.1.11</v>
      </c>
      <c r="C48" s="46" t="str">
        <f>+'4.HT PCCC'!B227</f>
        <v>Đèn chỉ dẫn thoát hiểm</v>
      </c>
      <c r="D48" s="15" t="str">
        <f>'4.HT PCCC'!D230&amp; "/" &amp;'4.HT PCCC'!D231</f>
        <v>Kentom/Việt Nam</v>
      </c>
    </row>
    <row r="49" spans="2:4" s="44" customFormat="1" x14ac:dyDescent="0.3">
      <c r="B49" s="45" t="str">
        <f>+'4.HT PCCC'!A249</f>
        <v>4.1.12</v>
      </c>
      <c r="C49" s="46" t="str">
        <f>+'4.HT PCCC'!B249</f>
        <v>Đèn chiếu sáng sự cố</v>
      </c>
      <c r="D49" s="15" t="str">
        <f>'4.HT PCCC'!D252&amp; "/" &amp;'4.HT PCCC'!D253</f>
        <v>Kentom/Việt Nam</v>
      </c>
    </row>
    <row r="50" spans="2:4" s="44" customFormat="1" ht="30.75" customHeight="1" x14ac:dyDescent="0.3">
      <c r="B50" s="45" t="str">
        <f>+'4.HT PCCC'!A271</f>
        <v>4.1.13</v>
      </c>
      <c r="C50" s="46" t="str">
        <f>+'4.HT PCCC'!B271</f>
        <v>Đèn chỉ dẫn thoát hiểm dùng cho phòng Ác quy</v>
      </c>
      <c r="D50" s="15" t="str">
        <f>'4.HT PCCC'!D274&amp; "/" &amp;'4.HT PCCC'!D275</f>
        <v>Kentom/Việt Nam</v>
      </c>
    </row>
    <row r="51" spans="2:4" s="44" customFormat="1" ht="33.6" x14ac:dyDescent="0.3">
      <c r="B51" s="45" t="str">
        <f>+'4.HT PCCC'!A294</f>
        <v>4.1.14</v>
      </c>
      <c r="C51" s="46" t="str">
        <f>+'4.HT PCCC'!B294</f>
        <v>Đèn chiếu sáng sự cố dùng cho phòng Ác quy</v>
      </c>
      <c r="D51" s="15" t="str">
        <f>'4.HT PCCC'!D297&amp; "/" &amp;'4.HT PCCC'!D298</f>
        <v>Kentom/Việt Nam</v>
      </c>
    </row>
    <row r="52" spans="2:4" s="44" customFormat="1" x14ac:dyDescent="0.3">
      <c r="B52" s="45" t="str">
        <f>+'4.HT PCCC'!A317</f>
        <v>4.1.15</v>
      </c>
      <c r="C52" s="46" t="str">
        <f>+'4.HT PCCC'!B317</f>
        <v>Đèn chiếu sáng sự cố trong nhà trạm bơm</v>
      </c>
      <c r="D52" s="15" t="str">
        <f>'4.HT PCCC'!D320&amp; "/" &amp;'4.HT PCCC'!D321</f>
        <v>Kentom/Việt Nam</v>
      </c>
    </row>
    <row r="53" spans="2:4" s="44" customFormat="1" x14ac:dyDescent="0.3">
      <c r="B53" s="45" t="str">
        <f>+'4.HT PCCC'!A340</f>
        <v>4.1.16</v>
      </c>
      <c r="C53" s="46" t="str">
        <f>+'4.HT PCCC'!B340</f>
        <v>Đèn ghi chữ “Trạm bơm chữa cháy”</v>
      </c>
      <c r="D53" s="15" t="str">
        <f>'4.HT PCCC'!D343&amp; "/" &amp;'4.HT PCCC'!D344</f>
        <v>Kentom/Việt Nam</v>
      </c>
    </row>
    <row r="54" spans="2:4" s="44" customFormat="1" ht="33.6" x14ac:dyDescent="0.3">
      <c r="B54" s="45" t="str">
        <f>+'4.HT PCCC'!A364</f>
        <v>4.1.17</v>
      </c>
      <c r="C54" s="46" t="str">
        <f>+'4.HT PCCC'!B364</f>
        <v>Board PCI kết nối máy vi tính với tủ báo cháy trung tâm</v>
      </c>
      <c r="D54" s="15" t="str">
        <f>'4.HT PCCC'!D367&amp; "/" &amp;'4.HT PCCC'!D368</f>
        <v>Hochiki/UK</v>
      </c>
    </row>
    <row r="55" spans="2:4" s="44" customFormat="1" ht="33.6" x14ac:dyDescent="0.3">
      <c r="B55" s="45" t="str">
        <f>+'4.HT PCCC'!A384</f>
        <v>4.1.18</v>
      </c>
      <c r="C55" s="46" t="str">
        <f>+'4.HT PCCC'!B384</f>
        <v>Phần mềm điều khiển và hiển thị hệ thống PCCC từ xa trên máy tính</v>
      </c>
      <c r="D55" s="26" t="str">
        <f>'4.HT PCCC'!D387&amp; "/" &amp;'4.HT PCCC'!D388</f>
        <v>Việt Trung/Việt Nam</v>
      </c>
    </row>
    <row r="56" spans="2:4" s="44" customFormat="1" x14ac:dyDescent="0.3">
      <c r="B56" s="45" t="str">
        <f>+'4.HT PCCC'!A404</f>
        <v>4.1.19</v>
      </c>
      <c r="C56" s="46" t="str">
        <f>+'4.HT PCCC'!B404</f>
        <v>Dây dò báo cháy nhiệt tuyến cáp</v>
      </c>
      <c r="D56" s="15" t="str">
        <f>'4.HT PCCC'!D407&amp; "/" &amp;'4.HT PCCC'!D408</f>
        <v>Kidde/Anh</v>
      </c>
    </row>
    <row r="57" spans="2:4" s="44" customFormat="1" x14ac:dyDescent="0.3">
      <c r="B57" s="45" t="str">
        <f>+'4.HT PCCC'!A424</f>
        <v>4.1.20</v>
      </c>
      <c r="C57" s="46" t="str">
        <f>+'4.HT PCCC'!B424</f>
        <v>Dây dẫn cho hệ thống báo cháy</v>
      </c>
      <c r="D57" s="15" t="str">
        <f>'4.HT PCCC'!D427&amp; "/" &amp;'4.HT PCCC'!D428</f>
        <v>Cadivi/Việt Nam</v>
      </c>
    </row>
    <row r="58" spans="2:4" s="44" customFormat="1" x14ac:dyDescent="0.3">
      <c r="B58" s="45" t="str">
        <f>+'4.HT PCCC'!A446</f>
        <v>4.1.21</v>
      </c>
      <c r="C58" s="46" t="str">
        <f>+'4.HT PCCC'!B446</f>
        <v xml:space="preserve"> Các loại tủ PCCC</v>
      </c>
      <c r="D58" s="15" t="str">
        <f>'4.HT PCCC'!D449&amp; "/" &amp;'4.HT PCCC'!D450</f>
        <v>TITSMART/Việt Nam</v>
      </c>
    </row>
    <row r="59" spans="2:4" s="44" customFormat="1" x14ac:dyDescent="0.3">
      <c r="B59" s="45" t="str">
        <f>+'4.HT PCCC'!A472</f>
        <v>4.1.22</v>
      </c>
      <c r="C59" s="46" t="str">
        <f>+'4.HT PCCC'!B472</f>
        <v>Bơm hút nước bể dầu sự cố</v>
      </c>
      <c r="D59" s="15" t="str">
        <f>'4.HT PCCC'!D475&amp; "/" &amp;'4.HT PCCC'!D476</f>
        <v>Windy/Việt Nam</v>
      </c>
    </row>
    <row r="60" spans="2:4" x14ac:dyDescent="0.3">
      <c r="B60" s="35" t="str">
        <f>+'4.HT PCCC'!A506</f>
        <v>4.2</v>
      </c>
      <c r="C60" s="91" t="str">
        <f>+'4.HT PCCC'!B506</f>
        <v>Hệ thống chữa cháy bằng nước</v>
      </c>
      <c r="D60" s="15"/>
    </row>
    <row r="61" spans="2:4" s="44" customFormat="1" x14ac:dyDescent="0.3">
      <c r="B61" s="45" t="str">
        <f>+'4.HT PCCC'!A509</f>
        <v>4.2.1</v>
      </c>
      <c r="C61" s="46" t="str">
        <f>+'4.HT PCCC'!B509</f>
        <v>Bơm nước chữa cháy dùng động cơ điện</v>
      </c>
      <c r="D61" s="15" t="str">
        <f>'4.HT PCCC'!D512&amp; "/" &amp;'4.HT PCCC'!D513</f>
        <v>Windy/Việt Nam</v>
      </c>
    </row>
    <row r="62" spans="2:4" s="44" customFormat="1" x14ac:dyDescent="0.3">
      <c r="B62" s="45" t="str">
        <f>+'4.HT PCCC'!A606</f>
        <v>4.2.2</v>
      </c>
      <c r="C62" s="46" t="str">
        <f>+'4.HT PCCC'!B606</f>
        <v>Bơm nước chữa cháy dùng động cơ Diesel</v>
      </c>
      <c r="D62" s="15" t="str">
        <f>'4.HT PCCC'!D609&amp; "/" &amp;'4.HT PCCC'!D610</f>
        <v>Windy/Việt Nam</v>
      </c>
    </row>
    <row r="63" spans="2:4" s="44" customFormat="1" x14ac:dyDescent="0.3">
      <c r="B63" s="45" t="str">
        <f>+'4.HT PCCC'!A697</f>
        <v>4.2.3</v>
      </c>
      <c r="C63" s="46" t="str">
        <f>+'4.HT PCCC'!B697</f>
        <v>Bơm nước chữa cháy bù áp</v>
      </c>
      <c r="D63" s="15" t="str">
        <f>'4.HT PCCC'!D700&amp; "/" &amp;'4.HT PCCC'!D701</f>
        <v>Nam Thành Phát/Việt Nam</v>
      </c>
    </row>
    <row r="64" spans="2:4" s="44" customFormat="1" x14ac:dyDescent="0.3">
      <c r="B64" s="45" t="str">
        <f>+'4.HT PCCC'!A744</f>
        <v>4.2.4</v>
      </c>
      <c r="C64" s="46" t="str">
        <f>+'4.HT PCCC'!B744</f>
        <v>Lăng phun nước</v>
      </c>
      <c r="D64" s="15" t="str">
        <f>'4.HT PCCC'!D747&amp; "/" &amp;'4.HT PCCC'!D748</f>
        <v>Cơ khí 83/BQP/Việt Nam</v>
      </c>
    </row>
    <row r="65" spans="2:4" s="44" customFormat="1" ht="33.6" x14ac:dyDescent="0.3">
      <c r="B65" s="45" t="str">
        <f>+'4.HT PCCC'!A766</f>
        <v>4.2.5</v>
      </c>
      <c r="C65" s="46" t="str">
        <f>+'4.HT PCCC'!B766</f>
        <v>Họng tiếp nước 2 chạc dùng tiếp nước cứu hoả</v>
      </c>
      <c r="D65" s="15" t="str">
        <f>'4.HT PCCC'!D769&amp; "/" &amp;'4.HT PCCC'!D770</f>
        <v>Cơ khí 83/BQP/Việt Nam</v>
      </c>
    </row>
    <row r="66" spans="2:4" s="44" customFormat="1" x14ac:dyDescent="0.3">
      <c r="B66" s="45" t="str">
        <f>+'4.HT PCCC'!A792</f>
        <v>4.2.6</v>
      </c>
      <c r="C66" s="46" t="str">
        <f>+'4.HT PCCC'!B792</f>
        <v>Van an toàn DN100</v>
      </c>
      <c r="D66" s="15" t="str">
        <f>'4.HT PCCC'!D795&amp; "/" &amp;'4.HT PCCC'!D796</f>
        <v>BDVa valvula/Trung Quốc</v>
      </c>
    </row>
    <row r="67" spans="2:4" s="44" customFormat="1" x14ac:dyDescent="0.3">
      <c r="B67" s="45" t="str">
        <f>+'4.HT PCCC'!A828</f>
        <v>4.2.7</v>
      </c>
      <c r="C67" s="46" t="str">
        <f>+'4.HT PCCC'!B828</f>
        <v>Quạt hướng trục chống cháy nổ</v>
      </c>
      <c r="D67" s="15" t="str">
        <f>'4.HT PCCC'!D831&amp; "/" &amp;'4.HT PCCC'!D832</f>
        <v>Sunfan/Việt Nam</v>
      </c>
    </row>
    <row r="68" spans="2:4" s="44" customFormat="1" x14ac:dyDescent="0.3">
      <c r="B68" s="45" t="str">
        <f>+'4.HT PCCC'!A852</f>
        <v>4.2.8</v>
      </c>
      <c r="C68" s="46" t="str">
        <f>+'4.HT PCCC'!B852</f>
        <v>Đồng hồ đo áp suất (Pressure Gauge)</v>
      </c>
      <c r="D68" s="15" t="str">
        <f>'4.HT PCCC'!D855&amp; "/" &amp;'4.HT PCCC'!D856</f>
        <v>Wise/Korea</v>
      </c>
    </row>
    <row r="69" spans="2:4" s="44" customFormat="1" x14ac:dyDescent="0.3">
      <c r="B69" s="45" t="str">
        <f>+'4.HT PCCC'!A884</f>
        <v>4.2.9</v>
      </c>
      <c r="C69" s="46" t="str">
        <f>+'4.HT PCCC'!B884</f>
        <v>Trụ nước chữa cháy ngoài nhà</v>
      </c>
      <c r="D69" s="15" t="str">
        <f>'4.HT PCCC'!D887&amp; "/" &amp;'4.HT PCCC'!D888</f>
        <v>Cơ khí 83 BQP/Việt Nam</v>
      </c>
    </row>
    <row r="70" spans="2:4" x14ac:dyDescent="0.3">
      <c r="B70" s="35" t="str">
        <f>+'4.HT PCCC'!A920</f>
        <v>4.3</v>
      </c>
      <c r="C70" s="91" t="str">
        <f>+'4.HT PCCC'!B920</f>
        <v>Các loại thiết bị khác</v>
      </c>
      <c r="D70" s="15"/>
    </row>
    <row r="71" spans="2:4" s="44" customFormat="1" x14ac:dyDescent="0.3">
      <c r="B71" s="45" t="str">
        <f>+'4.HT PCCC'!A923</f>
        <v>4.3.1</v>
      </c>
      <c r="C71" s="46" t="str">
        <f>+'4.HT PCCC'!B923</f>
        <v>Máy bộ đàm cầm tay</v>
      </c>
      <c r="D71" s="15" t="str">
        <f>'4.HT PCCC'!D926&amp; "/" &amp;'4.HT PCCC'!D927</f>
        <v>Kenwood/Malaisia</v>
      </c>
    </row>
    <row r="72" spans="2:4" s="44" customFormat="1" x14ac:dyDescent="0.3">
      <c r="B72" s="45" t="str">
        <f>+'4.HT PCCC'!A961</f>
        <v>4.3.2</v>
      </c>
      <c r="C72" s="46" t="str">
        <f>+'4.HT PCCC'!B961</f>
        <v>Bình CO₂ loại 5kg/ bình</v>
      </c>
      <c r="D72" s="15" t="str">
        <f>'4.HT PCCC'!D964&amp; "/" &amp;'4.HT PCCC'!D965</f>
        <v>Cơ khí 83/BQP/Việt Nam</v>
      </c>
    </row>
    <row r="73" spans="2:4" s="44" customFormat="1" x14ac:dyDescent="0.3">
      <c r="B73" s="45" t="str">
        <f>+'4.HT PCCC'!A988</f>
        <v>4.3.3</v>
      </c>
      <c r="C73" s="46" t="str">
        <f>+'4.HT PCCC'!B988</f>
        <v>Bình bột ABC loại 4kg/ bình</v>
      </c>
      <c r="D73" s="15" t="str">
        <f>'4.HT PCCC'!D991&amp; "/" &amp;'4.HT PCCC'!D992</f>
        <v>Cơ khí 83/BQP/Việt Nam</v>
      </c>
    </row>
    <row r="74" spans="2:4" s="44" customFormat="1" x14ac:dyDescent="0.3">
      <c r="B74" s="45" t="str">
        <f>+'4.HT PCCC'!A1017</f>
        <v>4.3.4</v>
      </c>
      <c r="C74" s="46" t="str">
        <f>+'4.HT PCCC'!B1017</f>
        <v>Bình CO₂ loại 24kg/ bình (xe đẩy)</v>
      </c>
      <c r="D74" s="15" t="str">
        <f>'4.HT PCCC'!D1020&amp; "/" &amp;'4.HT PCCC'!D1021</f>
        <v>Cơ khí 83/BQP/Việt Nam</v>
      </c>
    </row>
    <row r="75" spans="2:4" s="44" customFormat="1" x14ac:dyDescent="0.3">
      <c r="B75" s="45" t="str">
        <f>+'4.HT PCCC'!A1045</f>
        <v>4.3.5</v>
      </c>
      <c r="C75" s="46" t="str">
        <f>+'4.HT PCCC'!B1045</f>
        <v>Các loại tủ PCCC</v>
      </c>
      <c r="D75" s="15" t="str">
        <f>'4.HT PCCC'!D1048&amp; "/" &amp;'4.HT PCCC'!D1049</f>
        <v>TITSMART/Việt Nam</v>
      </c>
    </row>
    <row r="76" spans="2:4" x14ac:dyDescent="0.3">
      <c r="B76" s="45" t="str">
        <f>+'5.RS232RS485'!A1</f>
        <v>5.</v>
      </c>
      <c r="C76" s="153" t="str">
        <f>+'5.RS232RS485'!B1</f>
        <v>Bộ chuyển đổi RS232→RS485</v>
      </c>
      <c r="D76" s="15" t="str">
        <f>'5.RS232RS485'!D3</f>
        <v>3onedata/Trung Quốc</v>
      </c>
    </row>
    <row r="77" spans="2:4" x14ac:dyDescent="0.3">
      <c r="B77" s="45" t="str">
        <f>+'6.Connector RS232'!A1</f>
        <v>6.</v>
      </c>
      <c r="C77" s="153" t="str">
        <f>+'6.Connector RS232'!B1</f>
        <v>Connector RS232</v>
      </c>
      <c r="D77" s="15" t="str">
        <f>'6.Connector RS232'!D3</f>
        <v>HD-Link/Trung Quốc</v>
      </c>
    </row>
    <row r="78" spans="2:4" x14ac:dyDescent="0.3">
      <c r="B78" s="45" t="str">
        <f>+'7.CAT6'!A1</f>
        <v>7.</v>
      </c>
      <c r="C78" s="153" t="str">
        <f>+'7.CAT6'!B1</f>
        <v>Cáp mạng CAT6</v>
      </c>
      <c r="D78" s="15" t="str">
        <f>'7.CAT6'!D3</f>
        <v>Commscope/Trung Quốc</v>
      </c>
    </row>
    <row r="79" spans="2:4" x14ac:dyDescent="0.3">
      <c r="B79" s="45" t="str">
        <f>+'8.Module SFP'!A1</f>
        <v>8.</v>
      </c>
      <c r="C79" s="153" t="str">
        <f>+'8.Module SFP'!B1</f>
        <v>Thiết bị module SFP</v>
      </c>
      <c r="D79" s="15" t="str">
        <f>'8.Module SFP'!D3</f>
        <v>WT/Handar/Trung Quốc</v>
      </c>
    </row>
    <row r="80" spans="2:4" x14ac:dyDescent="0.3">
      <c r="B80" s="45" t="str">
        <f>+'9.ODF'!A1</f>
        <v>9.</v>
      </c>
      <c r="C80" s="153" t="str">
        <f>+'9.ODF'!B1</f>
        <v>Hộp đầu cuối cáp quang với ODF</v>
      </c>
      <c r="D80" s="15" t="str">
        <f>'9.ODF'!D3</f>
        <v>TITSMART/Việt Nam</v>
      </c>
    </row>
    <row r="81" spans="2:4" x14ac:dyDescent="0.3">
      <c r="B81" s="45" t="str">
        <f>+'10.Cáp NMOC'!A1</f>
        <v>10.</v>
      </c>
      <c r="C81" s="153" t="str">
        <f>+'10.Cáp NMOC'!B1</f>
        <v>Cáp quang Non-metallic (FO)</v>
      </c>
      <c r="D81" s="15" t="str">
        <f>'10.Cáp NMOC'!D3</f>
        <v>Postel/Việt Nam</v>
      </c>
    </row>
    <row r="82" spans="2:4" x14ac:dyDescent="0.3">
      <c r="B82" s="45" t="str">
        <f>+'11.HT Đk máy tính'!A1</f>
        <v>11.</v>
      </c>
      <c r="C82" s="153" t="str">
        <f>+'11.HT Đk máy tính'!B1</f>
        <v xml:space="preserve">Hệ thống điều khiển máy tính </v>
      </c>
      <c r="D82" s="15" t="str">
        <f>'11.HT Đk máy tính'!D5</f>
        <v>Advantech/Trung Quốc</v>
      </c>
    </row>
    <row r="83" spans="2:4" x14ac:dyDescent="0.3">
      <c r="B83" s="45" t="str">
        <f>+'12.Ethernet Switch '!A1</f>
        <v>12.</v>
      </c>
      <c r="C83" s="153" t="str">
        <f>+'12.Ethernet Switch '!B1</f>
        <v>Thiết bị Ethernet Switch Distribute</v>
      </c>
      <c r="D83" s="15" t="str">
        <f>'12.Ethernet Switch '!D4</f>
        <v>Advantech / Đài Loan</v>
      </c>
    </row>
    <row r="84" spans="2:4" x14ac:dyDescent="0.3">
      <c r="B84" s="45" t="str">
        <f>+'13.Dây nhảy quang'!A1</f>
        <v>13.</v>
      </c>
      <c r="C84" s="153" t="str">
        <f>+'13.Dây nhảy quang'!B1</f>
        <v>Dây nhảy quang</v>
      </c>
      <c r="D84" s="15" t="str">
        <f>'13.Dây nhảy quang'!D3</f>
        <v>TITSMART/Việt Nam</v>
      </c>
    </row>
    <row r="85" spans="2:4" x14ac:dyDescent="0.3">
      <c r="B85" s="45" t="str">
        <f>+'14.Module ghép stack'!A1</f>
        <v>14.</v>
      </c>
      <c r="C85" s="153" t="str">
        <f>+'14.Module ghép stack'!B1</f>
        <v>Thiết bị module ghép stack</v>
      </c>
      <c r="D85" s="15" t="str">
        <f>'14.Module ghép stack'!D3</f>
        <v>Cisco/Trung Quốc</v>
      </c>
    </row>
  </sheetData>
  <mergeCells count="2">
    <mergeCell ref="A2:D2"/>
    <mergeCell ref="B1:D1"/>
  </mergeCells>
  <pageMargins left="0.70866141732283472" right="0.11811023622047245" top="0.55118110236220474" bottom="0.55118110236220474"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7"/>
  <sheetViews>
    <sheetView view="pageBreakPreview" topLeftCell="A8" zoomScaleNormal="100" zoomScaleSheetLayoutView="100" workbookViewId="0">
      <selection activeCell="B19" sqref="B18:B22"/>
    </sheetView>
  </sheetViews>
  <sheetFormatPr defaultColWidth="25.109375" defaultRowHeight="17.399999999999999" x14ac:dyDescent="0.35"/>
  <cols>
    <col min="1" max="1" width="6.77734375" style="21" customWidth="1"/>
    <col min="2" max="2" width="29" style="40" customWidth="1"/>
    <col min="3" max="3" width="31.21875" style="29" customWidth="1"/>
    <col min="4" max="4" width="24.5546875" style="102" customWidth="1"/>
    <col min="5" max="16384" width="25.109375" style="21"/>
  </cols>
  <sheetData>
    <row r="1" spans="1:4" s="23" customFormat="1" x14ac:dyDescent="0.35">
      <c r="A1" s="22" t="s">
        <v>13</v>
      </c>
      <c r="B1" s="39" t="s">
        <v>1442</v>
      </c>
      <c r="C1" s="28"/>
      <c r="D1" s="100"/>
    </row>
    <row r="2" spans="1:4" s="29" customFormat="1" x14ac:dyDescent="0.35">
      <c r="A2" s="50" t="s">
        <v>48</v>
      </c>
      <c r="B2" s="50" t="s">
        <v>12</v>
      </c>
      <c r="C2" s="50" t="s">
        <v>2</v>
      </c>
      <c r="D2" s="50" t="s">
        <v>3</v>
      </c>
    </row>
    <row r="3" spans="1:4" ht="33.6" x14ac:dyDescent="0.35">
      <c r="A3" s="26" t="s">
        <v>4</v>
      </c>
      <c r="B3" s="7" t="s">
        <v>231</v>
      </c>
      <c r="C3" s="26" t="s">
        <v>232</v>
      </c>
      <c r="D3" s="101"/>
    </row>
    <row r="4" spans="1:4" ht="33.6" x14ac:dyDescent="0.35">
      <c r="A4" s="25"/>
      <c r="B4" s="25" t="s">
        <v>233</v>
      </c>
      <c r="C4" s="24" t="s">
        <v>7</v>
      </c>
      <c r="D4" s="24" t="s">
        <v>1464</v>
      </c>
    </row>
    <row r="5" spans="1:4" x14ac:dyDescent="0.35">
      <c r="A5" s="25"/>
      <c r="B5" s="25" t="s">
        <v>234</v>
      </c>
      <c r="C5" s="24" t="s">
        <v>7</v>
      </c>
      <c r="D5" s="24" t="s">
        <v>1484</v>
      </c>
    </row>
    <row r="6" spans="1:4" x14ac:dyDescent="0.35">
      <c r="A6" s="25"/>
      <c r="B6" s="25" t="s">
        <v>235</v>
      </c>
      <c r="C6" s="24" t="s">
        <v>236</v>
      </c>
      <c r="D6" s="24" t="s">
        <v>28</v>
      </c>
    </row>
    <row r="7" spans="1:4" x14ac:dyDescent="0.35">
      <c r="A7" s="25"/>
      <c r="B7" s="25" t="s">
        <v>237</v>
      </c>
      <c r="C7" s="24" t="s">
        <v>238</v>
      </c>
      <c r="D7" s="24" t="s">
        <v>28</v>
      </c>
    </row>
    <row r="8" spans="1:4" ht="33.6" x14ac:dyDescent="0.35">
      <c r="A8" s="25"/>
      <c r="B8" s="33" t="s">
        <v>274</v>
      </c>
      <c r="C8" s="24" t="s">
        <v>111</v>
      </c>
      <c r="D8" s="24" t="s">
        <v>28</v>
      </c>
    </row>
    <row r="9" spans="1:4" ht="33.6" x14ac:dyDescent="0.35">
      <c r="A9" s="25"/>
      <c r="B9" s="33" t="s">
        <v>275</v>
      </c>
      <c r="C9" s="24" t="s">
        <v>111</v>
      </c>
      <c r="D9" s="24" t="s">
        <v>28</v>
      </c>
    </row>
    <row r="10" spans="1:4" x14ac:dyDescent="0.35">
      <c r="A10" s="25"/>
      <c r="B10" s="25" t="s">
        <v>239</v>
      </c>
      <c r="C10" s="24" t="s">
        <v>39</v>
      </c>
      <c r="D10" s="24" t="s">
        <v>28</v>
      </c>
    </row>
    <row r="11" spans="1:4" ht="33.6" x14ac:dyDescent="0.35">
      <c r="A11" s="25"/>
      <c r="B11" s="25" t="s">
        <v>240</v>
      </c>
      <c r="C11" s="24" t="s">
        <v>241</v>
      </c>
      <c r="D11" s="24" t="s">
        <v>28</v>
      </c>
    </row>
    <row r="12" spans="1:4" x14ac:dyDescent="0.35">
      <c r="A12" s="25"/>
      <c r="B12" s="25" t="s">
        <v>242</v>
      </c>
      <c r="C12" s="24" t="s">
        <v>111</v>
      </c>
      <c r="D12" s="24" t="s">
        <v>28</v>
      </c>
    </row>
    <row r="13" spans="1:4" ht="33.6" x14ac:dyDescent="0.35">
      <c r="A13" s="25"/>
      <c r="B13" s="25" t="s">
        <v>276</v>
      </c>
      <c r="C13" s="24" t="s">
        <v>7</v>
      </c>
      <c r="D13" s="24" t="s">
        <v>1462</v>
      </c>
    </row>
    <row r="14" spans="1:4" ht="33.6" x14ac:dyDescent="0.35">
      <c r="A14" s="26" t="s">
        <v>6</v>
      </c>
      <c r="B14" s="7" t="s">
        <v>311</v>
      </c>
      <c r="C14" s="25"/>
      <c r="D14" s="101"/>
    </row>
    <row r="15" spans="1:4" x14ac:dyDescent="0.35">
      <c r="A15" s="26" t="s">
        <v>84</v>
      </c>
      <c r="B15" s="7" t="s">
        <v>243</v>
      </c>
      <c r="C15" s="25"/>
      <c r="D15" s="101"/>
    </row>
    <row r="16" spans="1:4" x14ac:dyDescent="0.35">
      <c r="A16" s="25"/>
      <c r="B16" s="25" t="s">
        <v>32</v>
      </c>
      <c r="C16" s="24" t="s">
        <v>7</v>
      </c>
      <c r="D16" s="95" t="s">
        <v>1512</v>
      </c>
    </row>
    <row r="17" spans="1:4" x14ac:dyDescent="0.35">
      <c r="A17" s="25"/>
      <c r="B17" s="25" t="s">
        <v>33</v>
      </c>
      <c r="C17" s="24" t="s">
        <v>7</v>
      </c>
      <c r="D17" s="94" t="s">
        <v>1513</v>
      </c>
    </row>
    <row r="18" spans="1:4" x14ac:dyDescent="0.35">
      <c r="A18" s="25"/>
      <c r="B18" s="25" t="s">
        <v>37</v>
      </c>
      <c r="C18" s="24" t="s">
        <v>7</v>
      </c>
      <c r="D18" s="94" t="s">
        <v>1458</v>
      </c>
    </row>
    <row r="19" spans="1:4" ht="84" x14ac:dyDescent="0.35">
      <c r="A19" s="127"/>
      <c r="B19" s="128" t="s">
        <v>244</v>
      </c>
      <c r="C19" s="33" t="s">
        <v>125</v>
      </c>
      <c r="D19" s="94" t="s">
        <v>28</v>
      </c>
    </row>
    <row r="20" spans="1:4" x14ac:dyDescent="0.35">
      <c r="A20" s="127"/>
      <c r="B20" s="128"/>
      <c r="C20" s="30" t="s">
        <v>303</v>
      </c>
      <c r="D20" s="94" t="s">
        <v>28</v>
      </c>
    </row>
    <row r="21" spans="1:4" ht="117.6" x14ac:dyDescent="0.35">
      <c r="A21" s="127"/>
      <c r="B21" s="128"/>
      <c r="C21" s="25" t="s">
        <v>304</v>
      </c>
      <c r="D21" s="94" t="s">
        <v>28</v>
      </c>
    </row>
    <row r="22" spans="1:4" ht="67.2" x14ac:dyDescent="0.35">
      <c r="A22" s="127"/>
      <c r="B22" s="128"/>
      <c r="C22" s="33" t="s">
        <v>305</v>
      </c>
      <c r="D22" s="94" t="s">
        <v>28</v>
      </c>
    </row>
    <row r="23" spans="1:4" ht="33.6" x14ac:dyDescent="0.35">
      <c r="A23" s="25"/>
      <c r="B23" s="25" t="s">
        <v>116</v>
      </c>
      <c r="C23" s="25" t="s">
        <v>277</v>
      </c>
      <c r="D23" s="94" t="s">
        <v>28</v>
      </c>
    </row>
    <row r="24" spans="1:4" ht="84" x14ac:dyDescent="0.35">
      <c r="A24" s="127"/>
      <c r="B24" s="128" t="s">
        <v>245</v>
      </c>
      <c r="C24" s="25" t="s">
        <v>246</v>
      </c>
      <c r="D24" s="94" t="s">
        <v>28</v>
      </c>
    </row>
    <row r="25" spans="1:4" ht="117.6" x14ac:dyDescent="0.35">
      <c r="A25" s="127"/>
      <c r="B25" s="128"/>
      <c r="C25" s="25" t="s">
        <v>278</v>
      </c>
      <c r="D25" s="94" t="s">
        <v>28</v>
      </c>
    </row>
    <row r="26" spans="1:4" x14ac:dyDescent="0.35">
      <c r="A26" s="25"/>
      <c r="B26" s="25" t="s">
        <v>247</v>
      </c>
      <c r="C26" s="24" t="s">
        <v>39</v>
      </c>
      <c r="D26" s="94" t="s">
        <v>28</v>
      </c>
    </row>
    <row r="27" spans="1:4" x14ac:dyDescent="0.35">
      <c r="A27" s="25"/>
      <c r="B27" s="25" t="s">
        <v>113</v>
      </c>
      <c r="C27" s="24" t="s">
        <v>114</v>
      </c>
      <c r="D27" s="94" t="s">
        <v>28</v>
      </c>
    </row>
    <row r="28" spans="1:4" x14ac:dyDescent="0.35">
      <c r="A28" s="25"/>
      <c r="B28" s="25" t="s">
        <v>118</v>
      </c>
      <c r="C28" s="24" t="s">
        <v>119</v>
      </c>
      <c r="D28" s="94" t="s">
        <v>28</v>
      </c>
    </row>
    <row r="29" spans="1:4" ht="50.4" x14ac:dyDescent="0.35">
      <c r="A29" s="127"/>
      <c r="B29" s="128" t="s">
        <v>65</v>
      </c>
      <c r="C29" s="25" t="s">
        <v>306</v>
      </c>
      <c r="D29" s="94"/>
    </row>
    <row r="30" spans="1:4" ht="67.2" x14ac:dyDescent="0.35">
      <c r="A30" s="127"/>
      <c r="B30" s="128"/>
      <c r="C30" s="54" t="s">
        <v>307</v>
      </c>
      <c r="D30" s="94" t="s">
        <v>28</v>
      </c>
    </row>
    <row r="31" spans="1:4" ht="33.6" x14ac:dyDescent="0.35">
      <c r="A31" s="25"/>
      <c r="B31" s="25" t="s">
        <v>121</v>
      </c>
      <c r="C31" s="25" t="s">
        <v>122</v>
      </c>
      <c r="D31" s="94" t="s">
        <v>28</v>
      </c>
    </row>
    <row r="32" spans="1:4" ht="50.4" x14ac:dyDescent="0.35">
      <c r="A32" s="127"/>
      <c r="B32" s="128" t="s">
        <v>248</v>
      </c>
      <c r="C32" s="54" t="s">
        <v>308</v>
      </c>
      <c r="D32" s="94" t="s">
        <v>28</v>
      </c>
    </row>
    <row r="33" spans="1:4" ht="67.2" x14ac:dyDescent="0.35">
      <c r="A33" s="127"/>
      <c r="B33" s="128"/>
      <c r="C33" s="54" t="s">
        <v>309</v>
      </c>
      <c r="D33" s="94" t="s">
        <v>28</v>
      </c>
    </row>
    <row r="34" spans="1:4" ht="33.6" x14ac:dyDescent="0.35">
      <c r="A34" s="25"/>
      <c r="B34" s="25" t="s">
        <v>38</v>
      </c>
      <c r="C34" s="25" t="s">
        <v>249</v>
      </c>
      <c r="D34" s="94" t="s">
        <v>28</v>
      </c>
    </row>
    <row r="35" spans="1:4" ht="84" x14ac:dyDescent="0.35">
      <c r="A35" s="25"/>
      <c r="B35" s="25" t="s">
        <v>73</v>
      </c>
      <c r="C35" s="25" t="s">
        <v>279</v>
      </c>
      <c r="D35" s="94" t="s">
        <v>28</v>
      </c>
    </row>
    <row r="36" spans="1:4" x14ac:dyDescent="0.35">
      <c r="A36" s="26" t="s">
        <v>85</v>
      </c>
      <c r="B36" s="7" t="s">
        <v>250</v>
      </c>
      <c r="C36" s="25"/>
      <c r="D36" s="94"/>
    </row>
    <row r="37" spans="1:4" x14ac:dyDescent="0.35">
      <c r="A37" s="25"/>
      <c r="B37" s="25" t="s">
        <v>32</v>
      </c>
      <c r="C37" s="24" t="s">
        <v>7</v>
      </c>
      <c r="D37" s="104" t="s">
        <v>1514</v>
      </c>
    </row>
    <row r="38" spans="1:4" x14ac:dyDescent="0.35">
      <c r="A38" s="25"/>
      <c r="B38" s="25" t="s">
        <v>33</v>
      </c>
      <c r="C38" s="24" t="s">
        <v>7</v>
      </c>
      <c r="D38" s="94" t="s">
        <v>1513</v>
      </c>
    </row>
    <row r="39" spans="1:4" x14ac:dyDescent="0.35">
      <c r="A39" s="25"/>
      <c r="B39" s="25" t="s">
        <v>37</v>
      </c>
      <c r="C39" s="24" t="s">
        <v>7</v>
      </c>
      <c r="D39" s="94" t="s">
        <v>1476</v>
      </c>
    </row>
    <row r="40" spans="1:4" ht="50.4" x14ac:dyDescent="0.35">
      <c r="A40" s="25"/>
      <c r="B40" s="25" t="s">
        <v>251</v>
      </c>
      <c r="C40" s="25" t="s">
        <v>280</v>
      </c>
      <c r="D40" s="104" t="s">
        <v>28</v>
      </c>
    </row>
    <row r="41" spans="1:4" ht="33.6" x14ac:dyDescent="0.35">
      <c r="A41" s="127"/>
      <c r="B41" s="128" t="s">
        <v>252</v>
      </c>
      <c r="C41" s="25" t="s">
        <v>281</v>
      </c>
      <c r="D41" s="104" t="s">
        <v>28</v>
      </c>
    </row>
    <row r="42" spans="1:4" ht="50.4" x14ac:dyDescent="0.35">
      <c r="A42" s="127"/>
      <c r="B42" s="128"/>
      <c r="C42" s="25" t="s">
        <v>282</v>
      </c>
      <c r="D42" s="104" t="s">
        <v>28</v>
      </c>
    </row>
    <row r="43" spans="1:4" ht="50.4" x14ac:dyDescent="0.35">
      <c r="A43" s="25"/>
      <c r="B43" s="25" t="s">
        <v>253</v>
      </c>
      <c r="C43" s="25" t="s">
        <v>283</v>
      </c>
      <c r="D43" s="104" t="s">
        <v>28</v>
      </c>
    </row>
    <row r="44" spans="1:4" ht="33.6" x14ac:dyDescent="0.35">
      <c r="A44" s="127"/>
      <c r="B44" s="128" t="s">
        <v>254</v>
      </c>
      <c r="C44" s="25" t="s">
        <v>284</v>
      </c>
      <c r="D44" s="104" t="s">
        <v>28</v>
      </c>
    </row>
    <row r="45" spans="1:4" ht="33.6" x14ac:dyDescent="0.35">
      <c r="A45" s="127"/>
      <c r="B45" s="128"/>
      <c r="C45" s="25" t="s">
        <v>285</v>
      </c>
      <c r="D45" s="104" t="s">
        <v>28</v>
      </c>
    </row>
    <row r="46" spans="1:4" ht="50.4" x14ac:dyDescent="0.35">
      <c r="A46" s="127"/>
      <c r="B46" s="128"/>
      <c r="C46" s="25" t="s">
        <v>286</v>
      </c>
      <c r="D46" s="104" t="s">
        <v>28</v>
      </c>
    </row>
    <row r="47" spans="1:4" x14ac:dyDescent="0.35">
      <c r="A47" s="127"/>
      <c r="B47" s="127" t="s">
        <v>255</v>
      </c>
      <c r="C47" s="24" t="s">
        <v>256</v>
      </c>
      <c r="D47" s="104" t="s">
        <v>28</v>
      </c>
    </row>
    <row r="48" spans="1:4" x14ac:dyDescent="0.35">
      <c r="A48" s="127"/>
      <c r="B48" s="127"/>
      <c r="C48" s="24" t="s">
        <v>257</v>
      </c>
      <c r="D48" s="104" t="s">
        <v>28</v>
      </c>
    </row>
    <row r="49" spans="1:4" x14ac:dyDescent="0.35">
      <c r="A49" s="127"/>
      <c r="B49" s="127"/>
      <c r="C49" s="24" t="s">
        <v>258</v>
      </c>
      <c r="D49" s="104" t="s">
        <v>28</v>
      </c>
    </row>
    <row r="50" spans="1:4" x14ac:dyDescent="0.35">
      <c r="A50" s="25"/>
      <c r="B50" s="25" t="s">
        <v>259</v>
      </c>
      <c r="C50" s="24" t="s">
        <v>28</v>
      </c>
      <c r="D50" s="104" t="s">
        <v>28</v>
      </c>
    </row>
    <row r="51" spans="1:4" ht="67.2" x14ac:dyDescent="0.35">
      <c r="A51" s="25"/>
      <c r="B51" s="25" t="s">
        <v>287</v>
      </c>
      <c r="C51" s="24" t="s">
        <v>28</v>
      </c>
      <c r="D51" s="104" t="s">
        <v>28</v>
      </c>
    </row>
    <row r="52" spans="1:4" ht="50.4" x14ac:dyDescent="0.35">
      <c r="A52" s="127"/>
      <c r="B52" s="128" t="s">
        <v>260</v>
      </c>
      <c r="C52" s="25" t="s">
        <v>288</v>
      </c>
      <c r="D52" s="104" t="s">
        <v>28</v>
      </c>
    </row>
    <row r="53" spans="1:4" x14ac:dyDescent="0.35">
      <c r="A53" s="127"/>
      <c r="B53" s="128"/>
      <c r="C53" s="25" t="s">
        <v>261</v>
      </c>
      <c r="D53" s="104" t="s">
        <v>28</v>
      </c>
    </row>
    <row r="54" spans="1:4" ht="67.2" x14ac:dyDescent="0.35">
      <c r="A54" s="127"/>
      <c r="B54" s="128"/>
      <c r="C54" s="25" t="s">
        <v>289</v>
      </c>
      <c r="D54" s="104" t="s">
        <v>28</v>
      </c>
    </row>
    <row r="55" spans="1:4" ht="67.2" x14ac:dyDescent="0.35">
      <c r="A55" s="127"/>
      <c r="B55" s="128" t="s">
        <v>262</v>
      </c>
      <c r="C55" s="25" t="s">
        <v>290</v>
      </c>
      <c r="D55" s="104" t="s">
        <v>28</v>
      </c>
    </row>
    <row r="56" spans="1:4" ht="33.6" x14ac:dyDescent="0.35">
      <c r="A56" s="127"/>
      <c r="B56" s="128"/>
      <c r="C56" s="25" t="s">
        <v>291</v>
      </c>
      <c r="D56" s="104" t="s">
        <v>28</v>
      </c>
    </row>
    <row r="57" spans="1:4" ht="67.2" x14ac:dyDescent="0.35">
      <c r="A57" s="127"/>
      <c r="B57" s="128"/>
      <c r="C57" s="25" t="s">
        <v>292</v>
      </c>
      <c r="D57" s="104" t="s">
        <v>28</v>
      </c>
    </row>
    <row r="58" spans="1:4" ht="134.4" x14ac:dyDescent="0.35">
      <c r="A58" s="127"/>
      <c r="B58" s="128" t="s">
        <v>263</v>
      </c>
      <c r="C58" s="48" t="s">
        <v>293</v>
      </c>
      <c r="D58" s="104" t="s">
        <v>28</v>
      </c>
    </row>
    <row r="59" spans="1:4" ht="36" x14ac:dyDescent="0.35">
      <c r="A59" s="127"/>
      <c r="B59" s="128"/>
      <c r="C59" s="25" t="s">
        <v>310</v>
      </c>
      <c r="D59" s="104" t="s">
        <v>28</v>
      </c>
    </row>
    <row r="60" spans="1:4" ht="33.6" x14ac:dyDescent="0.35">
      <c r="A60" s="127"/>
      <c r="B60" s="128"/>
      <c r="C60" s="25" t="s">
        <v>264</v>
      </c>
      <c r="D60" s="104" t="s">
        <v>28</v>
      </c>
    </row>
    <row r="61" spans="1:4" ht="33.6" x14ac:dyDescent="0.35">
      <c r="A61" s="127"/>
      <c r="B61" s="128"/>
      <c r="C61" s="25" t="s">
        <v>294</v>
      </c>
      <c r="D61" s="104" t="s">
        <v>28</v>
      </c>
    </row>
    <row r="62" spans="1:4" ht="134.4" x14ac:dyDescent="0.35">
      <c r="A62" s="25"/>
      <c r="B62" s="48" t="s">
        <v>265</v>
      </c>
      <c r="C62" s="25" t="s">
        <v>295</v>
      </c>
      <c r="D62" s="104" t="s">
        <v>28</v>
      </c>
    </row>
    <row r="63" spans="1:4" ht="117.6" x14ac:dyDescent="0.35">
      <c r="A63" s="25"/>
      <c r="B63" s="25"/>
      <c r="C63" s="25" t="s">
        <v>296</v>
      </c>
      <c r="D63" s="104" t="s">
        <v>28</v>
      </c>
    </row>
    <row r="64" spans="1:4" ht="151.19999999999999" x14ac:dyDescent="0.35">
      <c r="A64" s="127"/>
      <c r="B64" s="127"/>
      <c r="C64" s="25" t="s">
        <v>297</v>
      </c>
      <c r="D64" s="104" t="s">
        <v>28</v>
      </c>
    </row>
    <row r="65" spans="1:4" ht="33.6" x14ac:dyDescent="0.35">
      <c r="A65" s="127"/>
      <c r="B65" s="127"/>
      <c r="C65" s="25" t="s">
        <v>298</v>
      </c>
      <c r="D65" s="104" t="s">
        <v>28</v>
      </c>
    </row>
    <row r="66" spans="1:4" ht="67.2" x14ac:dyDescent="0.35">
      <c r="A66" s="127"/>
      <c r="B66" s="127"/>
      <c r="C66" s="25" t="s">
        <v>299</v>
      </c>
      <c r="D66" s="104" t="s">
        <v>28</v>
      </c>
    </row>
    <row r="67" spans="1:4" ht="33.6" x14ac:dyDescent="0.35">
      <c r="A67" s="25"/>
      <c r="B67" s="25" t="s">
        <v>266</v>
      </c>
      <c r="C67" s="24" t="s">
        <v>267</v>
      </c>
      <c r="D67" s="104" t="s">
        <v>28</v>
      </c>
    </row>
    <row r="68" spans="1:4" x14ac:dyDescent="0.35">
      <c r="A68" s="25"/>
      <c r="B68" s="25" t="s">
        <v>268</v>
      </c>
      <c r="C68" s="24" t="s">
        <v>28</v>
      </c>
      <c r="D68" s="104" t="s">
        <v>28</v>
      </c>
    </row>
    <row r="69" spans="1:4" ht="33.6" x14ac:dyDescent="0.35">
      <c r="A69" s="25"/>
      <c r="B69" s="25" t="s">
        <v>81</v>
      </c>
      <c r="C69" s="24" t="s">
        <v>269</v>
      </c>
      <c r="D69" s="104" t="s">
        <v>28</v>
      </c>
    </row>
    <row r="70" spans="1:4" ht="50.4" x14ac:dyDescent="0.35">
      <c r="A70" s="25"/>
      <c r="B70" s="25" t="s">
        <v>120</v>
      </c>
      <c r="C70" s="25" t="s">
        <v>300</v>
      </c>
      <c r="D70" s="104" t="s">
        <v>28</v>
      </c>
    </row>
    <row r="71" spans="1:4" ht="67.2" x14ac:dyDescent="0.35">
      <c r="A71" s="25"/>
      <c r="B71" s="25" t="s">
        <v>301</v>
      </c>
      <c r="C71" s="24" t="s">
        <v>28</v>
      </c>
      <c r="D71" s="104" t="s">
        <v>28</v>
      </c>
    </row>
    <row r="72" spans="1:4" ht="33.6" x14ac:dyDescent="0.35">
      <c r="A72" s="26" t="s">
        <v>86</v>
      </c>
      <c r="B72" s="7" t="s">
        <v>270</v>
      </c>
      <c r="C72" s="55" t="s">
        <v>271</v>
      </c>
      <c r="D72" s="101"/>
    </row>
    <row r="73" spans="1:4" x14ac:dyDescent="0.35">
      <c r="A73" s="25"/>
      <c r="B73" s="25" t="s">
        <v>32</v>
      </c>
      <c r="C73" s="24" t="s">
        <v>7</v>
      </c>
      <c r="D73" s="94" t="s">
        <v>1515</v>
      </c>
    </row>
    <row r="74" spans="1:4" x14ac:dyDescent="0.35">
      <c r="A74" s="25"/>
      <c r="B74" s="25" t="s">
        <v>33</v>
      </c>
      <c r="C74" s="24" t="s">
        <v>7</v>
      </c>
      <c r="D74" s="94" t="s">
        <v>1516</v>
      </c>
    </row>
    <row r="75" spans="1:4" x14ac:dyDescent="0.35">
      <c r="A75" s="25"/>
      <c r="B75" s="25" t="s">
        <v>37</v>
      </c>
      <c r="C75" s="24" t="s">
        <v>7</v>
      </c>
      <c r="D75" s="94" t="s">
        <v>1517</v>
      </c>
    </row>
    <row r="76" spans="1:4" x14ac:dyDescent="0.35">
      <c r="A76" s="25"/>
      <c r="B76" s="25" t="s">
        <v>230</v>
      </c>
      <c r="C76" s="24" t="s">
        <v>272</v>
      </c>
      <c r="D76" s="104" t="s">
        <v>28</v>
      </c>
    </row>
    <row r="77" spans="1:4" ht="100.8" x14ac:dyDescent="0.35">
      <c r="A77" s="25"/>
      <c r="B77" s="25" t="s">
        <v>273</v>
      </c>
      <c r="C77" s="25" t="s">
        <v>302</v>
      </c>
      <c r="D77" s="104" t="s">
        <v>28</v>
      </c>
    </row>
  </sheetData>
  <mergeCells count="22">
    <mergeCell ref="B19:B22"/>
    <mergeCell ref="B24:B25"/>
    <mergeCell ref="B29:B30"/>
    <mergeCell ref="B32:B33"/>
    <mergeCell ref="B41:B42"/>
    <mergeCell ref="B55:B57"/>
    <mergeCell ref="B58:B61"/>
    <mergeCell ref="A64:A66"/>
    <mergeCell ref="B64:B66"/>
    <mergeCell ref="A52:A54"/>
    <mergeCell ref="A55:A57"/>
    <mergeCell ref="A58:A61"/>
    <mergeCell ref="B47:B49"/>
    <mergeCell ref="A29:A30"/>
    <mergeCell ref="A32:A33"/>
    <mergeCell ref="B44:B46"/>
    <mergeCell ref="B52:B54"/>
    <mergeCell ref="A19:A22"/>
    <mergeCell ref="A24:A25"/>
    <mergeCell ref="A41:A42"/>
    <mergeCell ref="A44:A46"/>
    <mergeCell ref="A47:A49"/>
  </mergeCells>
  <pageMargins left="0.70866141732283472" right="0.11811023622047245" top="0.55118110236220474" bottom="0.55118110236220474"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9"/>
  <sheetViews>
    <sheetView view="pageBreakPreview" topLeftCell="A164" zoomScaleNormal="100" zoomScaleSheetLayoutView="100" workbookViewId="0">
      <selection activeCell="D205" sqref="D205"/>
    </sheetView>
  </sheetViews>
  <sheetFormatPr defaultColWidth="25.109375" defaultRowHeight="17.399999999999999" x14ac:dyDescent="0.35"/>
  <cols>
    <col min="1" max="1" width="6.77734375" style="21" customWidth="1"/>
    <col min="2" max="2" width="29" style="40" customWidth="1"/>
    <col min="3" max="3" width="31.21875" style="29" customWidth="1"/>
    <col min="4" max="4" width="35.5546875" style="21" bestFit="1" customWidth="1"/>
    <col min="5" max="16384" width="25.109375" style="21"/>
  </cols>
  <sheetData>
    <row r="1" spans="1:4" s="23" customFormat="1" x14ac:dyDescent="0.35">
      <c r="A1" s="22" t="s">
        <v>14</v>
      </c>
      <c r="B1" s="39" t="s">
        <v>312</v>
      </c>
      <c r="C1" s="28"/>
      <c r="D1" s="28"/>
    </row>
    <row r="2" spans="1:4" s="29" customFormat="1" x14ac:dyDescent="0.35">
      <c r="A2" s="37" t="s">
        <v>48</v>
      </c>
      <c r="B2" s="37" t="s">
        <v>12</v>
      </c>
      <c r="C2" s="37" t="s">
        <v>2</v>
      </c>
      <c r="D2" s="37" t="s">
        <v>3</v>
      </c>
    </row>
    <row r="3" spans="1:4" x14ac:dyDescent="0.35">
      <c r="A3" s="26" t="s">
        <v>10</v>
      </c>
      <c r="B3" s="7" t="s">
        <v>313</v>
      </c>
      <c r="C3" s="25"/>
      <c r="D3" s="38"/>
    </row>
    <row r="4" spans="1:4" x14ac:dyDescent="0.35">
      <c r="A4" s="25"/>
      <c r="B4" s="25" t="s">
        <v>314</v>
      </c>
      <c r="C4" s="24" t="s">
        <v>7</v>
      </c>
      <c r="D4" s="94" t="s">
        <v>1463</v>
      </c>
    </row>
    <row r="5" spans="1:4" ht="33.6" x14ac:dyDescent="0.35">
      <c r="A5" s="25"/>
      <c r="B5" s="25" t="s">
        <v>315</v>
      </c>
      <c r="C5" s="24" t="s">
        <v>493</v>
      </c>
      <c r="D5" s="94" t="s">
        <v>1459</v>
      </c>
    </row>
    <row r="6" spans="1:4" ht="33.6" x14ac:dyDescent="0.35">
      <c r="A6" s="25"/>
      <c r="B6" s="25" t="s">
        <v>316</v>
      </c>
      <c r="C6" s="24" t="s">
        <v>494</v>
      </c>
      <c r="D6" s="94" t="s">
        <v>1460</v>
      </c>
    </row>
    <row r="7" spans="1:4" ht="33.6" x14ac:dyDescent="0.35">
      <c r="A7" s="25"/>
      <c r="B7" s="25" t="s">
        <v>317</v>
      </c>
      <c r="C7" s="24" t="s">
        <v>318</v>
      </c>
      <c r="D7" s="94" t="s">
        <v>28</v>
      </c>
    </row>
    <row r="8" spans="1:4" x14ac:dyDescent="0.35">
      <c r="A8" s="26" t="s">
        <v>227</v>
      </c>
      <c r="B8" s="7" t="s">
        <v>319</v>
      </c>
      <c r="C8" s="25"/>
      <c r="D8" s="94"/>
    </row>
    <row r="9" spans="1:4" x14ac:dyDescent="0.35">
      <c r="A9" s="26">
        <v>1</v>
      </c>
      <c r="B9" s="7" t="s">
        <v>320</v>
      </c>
      <c r="C9" s="25"/>
      <c r="D9" s="94"/>
    </row>
    <row r="10" spans="1:4" ht="33.6" x14ac:dyDescent="0.35">
      <c r="A10" s="25"/>
      <c r="B10" s="25" t="s">
        <v>233</v>
      </c>
      <c r="C10" s="24" t="s">
        <v>7</v>
      </c>
      <c r="D10" s="94" t="s">
        <v>1464</v>
      </c>
    </row>
    <row r="11" spans="1:4" x14ac:dyDescent="0.35">
      <c r="A11" s="25"/>
      <c r="B11" s="25" t="s">
        <v>234</v>
      </c>
      <c r="C11" s="24" t="s">
        <v>7</v>
      </c>
      <c r="D11" s="94" t="s">
        <v>1461</v>
      </c>
    </row>
    <row r="12" spans="1:4" x14ac:dyDescent="0.35">
      <c r="A12" s="25"/>
      <c r="B12" s="25" t="s">
        <v>82</v>
      </c>
      <c r="C12" s="24" t="s">
        <v>83</v>
      </c>
      <c r="D12" s="94" t="s">
        <v>28</v>
      </c>
    </row>
    <row r="13" spans="1:4" ht="33.6" x14ac:dyDescent="0.35">
      <c r="A13" s="25"/>
      <c r="B13" s="25" t="s">
        <v>276</v>
      </c>
      <c r="C13" s="24" t="s">
        <v>7</v>
      </c>
      <c r="D13" s="94" t="s">
        <v>1462</v>
      </c>
    </row>
    <row r="14" spans="1:4" ht="33.6" x14ac:dyDescent="0.35">
      <c r="A14" s="25"/>
      <c r="B14" s="25" t="s">
        <v>495</v>
      </c>
      <c r="C14" s="24" t="s">
        <v>613</v>
      </c>
      <c r="D14" s="94" t="s">
        <v>28</v>
      </c>
    </row>
    <row r="15" spans="1:4" x14ac:dyDescent="0.35">
      <c r="A15" s="25"/>
      <c r="B15" s="25" t="s">
        <v>321</v>
      </c>
      <c r="C15" s="47">
        <v>0.9</v>
      </c>
      <c r="D15" s="94" t="s">
        <v>28</v>
      </c>
    </row>
    <row r="16" spans="1:4" x14ac:dyDescent="0.35">
      <c r="A16" s="25"/>
      <c r="B16" s="25" t="s">
        <v>322</v>
      </c>
      <c r="C16" s="24" t="s">
        <v>323</v>
      </c>
      <c r="D16" s="94" t="s">
        <v>28</v>
      </c>
    </row>
    <row r="17" spans="1:4" ht="33.6" x14ac:dyDescent="0.35">
      <c r="A17" s="25"/>
      <c r="B17" s="25" t="s">
        <v>40</v>
      </c>
      <c r="C17" s="24" t="s">
        <v>8</v>
      </c>
      <c r="D17" s="94" t="s">
        <v>28</v>
      </c>
    </row>
    <row r="18" spans="1:4" ht="33.6" x14ac:dyDescent="0.35">
      <c r="A18" s="25"/>
      <c r="B18" s="25" t="s">
        <v>496</v>
      </c>
      <c r="C18" s="24" t="s">
        <v>324</v>
      </c>
      <c r="D18" s="94" t="s">
        <v>28</v>
      </c>
    </row>
    <row r="19" spans="1:4" x14ac:dyDescent="0.35">
      <c r="A19" s="26">
        <v>2</v>
      </c>
      <c r="B19" s="7" t="s">
        <v>325</v>
      </c>
      <c r="C19" s="25"/>
      <c r="D19" s="38"/>
    </row>
    <row r="20" spans="1:4" x14ac:dyDescent="0.35">
      <c r="A20" s="26" t="s">
        <v>199</v>
      </c>
      <c r="B20" s="7" t="s">
        <v>326</v>
      </c>
      <c r="C20" s="25"/>
      <c r="D20" s="38"/>
    </row>
    <row r="21" spans="1:4" ht="33.6" x14ac:dyDescent="0.35">
      <c r="A21" s="25"/>
      <c r="B21" s="25" t="s">
        <v>233</v>
      </c>
      <c r="C21" s="24" t="s">
        <v>7</v>
      </c>
      <c r="D21" s="24" t="s">
        <v>1564</v>
      </c>
    </row>
    <row r="22" spans="1:4" x14ac:dyDescent="0.35">
      <c r="A22" s="25"/>
      <c r="B22" s="25" t="s">
        <v>234</v>
      </c>
      <c r="C22" s="24" t="s">
        <v>7</v>
      </c>
      <c r="D22" s="24" t="s">
        <v>1565</v>
      </c>
    </row>
    <row r="23" spans="1:4" ht="33.6" x14ac:dyDescent="0.35">
      <c r="A23" s="25"/>
      <c r="B23" s="25" t="s">
        <v>327</v>
      </c>
      <c r="C23" s="30" t="s">
        <v>497</v>
      </c>
      <c r="D23" s="24" t="s">
        <v>28</v>
      </c>
    </row>
    <row r="24" spans="1:4" ht="67.2" x14ac:dyDescent="0.35">
      <c r="A24" s="25"/>
      <c r="B24" s="25" t="s">
        <v>328</v>
      </c>
      <c r="C24" s="30" t="s">
        <v>498</v>
      </c>
      <c r="D24" s="24" t="s">
        <v>28</v>
      </c>
    </row>
    <row r="25" spans="1:4" ht="67.2" x14ac:dyDescent="0.35">
      <c r="A25" s="25"/>
      <c r="B25" s="25" t="s">
        <v>499</v>
      </c>
      <c r="C25" s="24" t="s">
        <v>329</v>
      </c>
      <c r="D25" s="24" t="s">
        <v>28</v>
      </c>
    </row>
    <row r="26" spans="1:4" ht="50.4" x14ac:dyDescent="0.35">
      <c r="A26" s="25"/>
      <c r="B26" s="25" t="s">
        <v>500</v>
      </c>
      <c r="C26" s="24" t="s">
        <v>329</v>
      </c>
      <c r="D26" s="24" t="s">
        <v>28</v>
      </c>
    </row>
    <row r="27" spans="1:4" ht="67.2" x14ac:dyDescent="0.35">
      <c r="A27" s="25"/>
      <c r="B27" s="25" t="s">
        <v>330</v>
      </c>
      <c r="C27" s="25" t="s">
        <v>501</v>
      </c>
      <c r="D27" s="24" t="s">
        <v>28</v>
      </c>
    </row>
    <row r="28" spans="1:4" ht="50.4" x14ac:dyDescent="0.35">
      <c r="A28" s="25"/>
      <c r="B28" s="25" t="s">
        <v>331</v>
      </c>
      <c r="C28" s="25" t="s">
        <v>502</v>
      </c>
      <c r="D28" s="24" t="s">
        <v>28</v>
      </c>
    </row>
    <row r="29" spans="1:4" x14ac:dyDescent="0.35">
      <c r="A29" s="25"/>
      <c r="B29" s="25" t="s">
        <v>107</v>
      </c>
      <c r="C29" s="4" t="s">
        <v>614</v>
      </c>
      <c r="D29" s="24" t="s">
        <v>28</v>
      </c>
    </row>
    <row r="30" spans="1:4" ht="33.6" x14ac:dyDescent="0.35">
      <c r="A30" s="25"/>
      <c r="B30" s="25" t="s">
        <v>503</v>
      </c>
      <c r="C30" s="24" t="s">
        <v>332</v>
      </c>
      <c r="D30" s="24" t="s">
        <v>28</v>
      </c>
    </row>
    <row r="31" spans="1:4" ht="33.6" x14ac:dyDescent="0.35">
      <c r="A31" s="25"/>
      <c r="B31" s="25" t="s">
        <v>504</v>
      </c>
      <c r="C31" s="24" t="s">
        <v>333</v>
      </c>
      <c r="D31" s="24" t="s">
        <v>28</v>
      </c>
    </row>
    <row r="32" spans="1:4" x14ac:dyDescent="0.35">
      <c r="A32" s="25"/>
      <c r="B32" s="25" t="s">
        <v>108</v>
      </c>
      <c r="C32" s="24" t="s">
        <v>109</v>
      </c>
      <c r="D32" s="24" t="s">
        <v>28</v>
      </c>
    </row>
    <row r="33" spans="1:4" ht="67.2" x14ac:dyDescent="0.35">
      <c r="A33" s="25"/>
      <c r="B33" s="25" t="s">
        <v>505</v>
      </c>
      <c r="C33" s="24" t="s">
        <v>39</v>
      </c>
      <c r="D33" s="24" t="s">
        <v>28</v>
      </c>
    </row>
    <row r="34" spans="1:4" ht="67.2" x14ac:dyDescent="0.35">
      <c r="A34" s="25"/>
      <c r="B34" s="25" t="s">
        <v>506</v>
      </c>
      <c r="C34" s="24" t="s">
        <v>39</v>
      </c>
      <c r="D34" s="24" t="s">
        <v>28</v>
      </c>
    </row>
    <row r="35" spans="1:4" x14ac:dyDescent="0.35">
      <c r="A35" s="25"/>
      <c r="B35" s="7" t="s">
        <v>334</v>
      </c>
      <c r="C35" s="25"/>
      <c r="D35" s="24"/>
    </row>
    <row r="36" spans="1:4" ht="100.8" x14ac:dyDescent="0.35">
      <c r="A36" s="25"/>
      <c r="B36" s="48" t="s">
        <v>507</v>
      </c>
      <c r="C36" s="24" t="s">
        <v>39</v>
      </c>
      <c r="D36" s="24" t="s">
        <v>28</v>
      </c>
    </row>
    <row r="37" spans="1:4" ht="33.6" x14ac:dyDescent="0.35">
      <c r="A37" s="25"/>
      <c r="B37" s="25" t="s">
        <v>508</v>
      </c>
      <c r="C37" s="24" t="s">
        <v>39</v>
      </c>
      <c r="D37" s="24" t="s">
        <v>28</v>
      </c>
    </row>
    <row r="38" spans="1:4" ht="33.6" x14ac:dyDescent="0.35">
      <c r="A38" s="25"/>
      <c r="B38" s="25" t="s">
        <v>335</v>
      </c>
      <c r="C38" s="24" t="s">
        <v>509</v>
      </c>
      <c r="D38" s="24" t="s">
        <v>28</v>
      </c>
    </row>
    <row r="39" spans="1:4" ht="33.6" x14ac:dyDescent="0.35">
      <c r="A39" s="127"/>
      <c r="B39" s="25" t="s">
        <v>336</v>
      </c>
      <c r="C39" s="129" t="s">
        <v>39</v>
      </c>
      <c r="D39" s="24" t="s">
        <v>28</v>
      </c>
    </row>
    <row r="40" spans="1:4" ht="33.6" x14ac:dyDescent="0.35">
      <c r="A40" s="127"/>
      <c r="B40" s="25" t="s">
        <v>337</v>
      </c>
      <c r="C40" s="129"/>
      <c r="D40" s="24" t="s">
        <v>28</v>
      </c>
    </row>
    <row r="41" spans="1:4" ht="50.4" x14ac:dyDescent="0.35">
      <c r="A41" s="25"/>
      <c r="B41" s="25" t="s">
        <v>338</v>
      </c>
      <c r="C41" s="24" t="s">
        <v>39</v>
      </c>
      <c r="D41" s="24" t="s">
        <v>28</v>
      </c>
    </row>
    <row r="42" spans="1:4" ht="100.8" x14ac:dyDescent="0.35">
      <c r="A42" s="25"/>
      <c r="B42" s="48" t="s">
        <v>510</v>
      </c>
      <c r="C42" s="24" t="s">
        <v>39</v>
      </c>
      <c r="D42" s="24" t="s">
        <v>28</v>
      </c>
    </row>
    <row r="43" spans="1:4" x14ac:dyDescent="0.35">
      <c r="A43" s="25"/>
      <c r="B43" s="25" t="s">
        <v>110</v>
      </c>
      <c r="C43" s="24" t="s">
        <v>39</v>
      </c>
      <c r="D43" s="24" t="s">
        <v>28</v>
      </c>
    </row>
    <row r="44" spans="1:4" ht="33.6" x14ac:dyDescent="0.35">
      <c r="A44" s="25"/>
      <c r="B44" s="25" t="s">
        <v>339</v>
      </c>
      <c r="C44" s="24" t="s">
        <v>39</v>
      </c>
      <c r="D44" s="24" t="s">
        <v>28</v>
      </c>
    </row>
    <row r="45" spans="1:4" ht="84" x14ac:dyDescent="0.35">
      <c r="A45" s="25"/>
      <c r="B45" s="48" t="s">
        <v>511</v>
      </c>
      <c r="C45" s="24" t="s">
        <v>39</v>
      </c>
      <c r="D45" s="24" t="s">
        <v>28</v>
      </c>
    </row>
    <row r="46" spans="1:4" ht="84" x14ac:dyDescent="0.35">
      <c r="A46" s="25"/>
      <c r="B46" s="48" t="s">
        <v>512</v>
      </c>
      <c r="C46" s="24" t="s">
        <v>111</v>
      </c>
      <c r="D46" s="24" t="s">
        <v>28</v>
      </c>
    </row>
    <row r="47" spans="1:4" ht="33.6" x14ac:dyDescent="0.35">
      <c r="A47" s="25"/>
      <c r="B47" s="7" t="s">
        <v>340</v>
      </c>
      <c r="C47" s="25"/>
      <c r="D47" s="24"/>
    </row>
    <row r="48" spans="1:4" ht="117.6" x14ac:dyDescent="0.35">
      <c r="A48" s="25"/>
      <c r="B48" s="48" t="s">
        <v>513</v>
      </c>
      <c r="C48" s="4" t="s">
        <v>615</v>
      </c>
      <c r="D48" s="24" t="s">
        <v>28</v>
      </c>
    </row>
    <row r="49" spans="1:4" ht="33.6" x14ac:dyDescent="0.35">
      <c r="A49" s="25"/>
      <c r="B49" s="25" t="s">
        <v>341</v>
      </c>
      <c r="C49" s="4" t="s">
        <v>616</v>
      </c>
      <c r="D49" s="24" t="s">
        <v>28</v>
      </c>
    </row>
    <row r="50" spans="1:4" ht="33.6" x14ac:dyDescent="0.35">
      <c r="A50" s="25"/>
      <c r="B50" s="25" t="s">
        <v>514</v>
      </c>
      <c r="C50" s="4" t="s">
        <v>617</v>
      </c>
      <c r="D50" s="24" t="s">
        <v>28</v>
      </c>
    </row>
    <row r="51" spans="1:4" ht="33.6" x14ac:dyDescent="0.35">
      <c r="A51" s="25"/>
      <c r="B51" s="25" t="s">
        <v>515</v>
      </c>
      <c r="C51" s="24" t="s">
        <v>28</v>
      </c>
      <c r="D51" s="24" t="s">
        <v>28</v>
      </c>
    </row>
    <row r="52" spans="1:4" ht="33.6" x14ac:dyDescent="0.35">
      <c r="A52" s="26" t="s">
        <v>200</v>
      </c>
      <c r="B52" s="7" t="s">
        <v>342</v>
      </c>
      <c r="C52" s="25"/>
      <c r="D52" s="24"/>
    </row>
    <row r="53" spans="1:4" x14ac:dyDescent="0.35">
      <c r="A53" s="24">
        <v>1</v>
      </c>
      <c r="B53" s="25" t="s">
        <v>33</v>
      </c>
      <c r="C53" s="24" t="s">
        <v>7</v>
      </c>
      <c r="D53" s="94" t="s">
        <v>1465</v>
      </c>
    </row>
    <row r="54" spans="1:4" x14ac:dyDescent="0.35">
      <c r="A54" s="24">
        <v>2</v>
      </c>
      <c r="B54" s="25" t="s">
        <v>32</v>
      </c>
      <c r="C54" s="24" t="s">
        <v>7</v>
      </c>
      <c r="D54" s="94" t="s">
        <v>1466</v>
      </c>
    </row>
    <row r="55" spans="1:4" ht="100.8" x14ac:dyDescent="0.35">
      <c r="A55" s="24">
        <v>3</v>
      </c>
      <c r="B55" s="25" t="s">
        <v>343</v>
      </c>
      <c r="C55" s="24" t="s">
        <v>344</v>
      </c>
      <c r="D55" s="94" t="s">
        <v>28</v>
      </c>
    </row>
    <row r="56" spans="1:4" ht="151.19999999999999" x14ac:dyDescent="0.35">
      <c r="A56" s="24">
        <v>4</v>
      </c>
      <c r="B56" s="25" t="s">
        <v>517</v>
      </c>
      <c r="C56" s="24" t="s">
        <v>516</v>
      </c>
      <c r="D56" s="94" t="s">
        <v>28</v>
      </c>
    </row>
    <row r="57" spans="1:4" ht="67.2" x14ac:dyDescent="0.35">
      <c r="A57" s="24">
        <v>5</v>
      </c>
      <c r="B57" s="25" t="s">
        <v>518</v>
      </c>
      <c r="C57" s="24" t="s">
        <v>28</v>
      </c>
      <c r="D57" s="94" t="s">
        <v>28</v>
      </c>
    </row>
    <row r="58" spans="1:4" ht="50.4" x14ac:dyDescent="0.35">
      <c r="A58" s="24">
        <v>6</v>
      </c>
      <c r="B58" s="25" t="s">
        <v>519</v>
      </c>
      <c r="C58" s="24" t="s">
        <v>28</v>
      </c>
      <c r="D58" s="94" t="s">
        <v>28</v>
      </c>
    </row>
    <row r="59" spans="1:4" ht="67.2" x14ac:dyDescent="0.35">
      <c r="A59" s="24" t="s">
        <v>67</v>
      </c>
      <c r="B59" s="25" t="s">
        <v>520</v>
      </c>
      <c r="C59" s="24" t="s">
        <v>28</v>
      </c>
      <c r="D59" s="94" t="s">
        <v>28</v>
      </c>
    </row>
    <row r="60" spans="1:4" ht="33.6" x14ac:dyDescent="0.35">
      <c r="A60" s="24" t="s">
        <v>69</v>
      </c>
      <c r="B60" s="25" t="s">
        <v>521</v>
      </c>
      <c r="C60" s="24" t="s">
        <v>28</v>
      </c>
    </row>
    <row r="61" spans="1:4" ht="84" x14ac:dyDescent="0.35">
      <c r="A61" s="24">
        <v>7</v>
      </c>
      <c r="B61" s="25" t="s">
        <v>522</v>
      </c>
      <c r="C61" s="24" t="s">
        <v>28</v>
      </c>
      <c r="D61" s="94" t="s">
        <v>28</v>
      </c>
    </row>
    <row r="62" spans="1:4" x14ac:dyDescent="0.35">
      <c r="A62" s="24">
        <v>8</v>
      </c>
      <c r="B62" s="25" t="s">
        <v>50</v>
      </c>
      <c r="C62" s="24" t="s">
        <v>7</v>
      </c>
      <c r="D62" s="94" t="s">
        <v>1467</v>
      </c>
    </row>
    <row r="63" spans="1:4" x14ac:dyDescent="0.35">
      <c r="A63" s="24">
        <v>9</v>
      </c>
      <c r="B63" s="25" t="s">
        <v>345</v>
      </c>
      <c r="C63" s="24" t="s">
        <v>346</v>
      </c>
      <c r="D63" s="94" t="s">
        <v>28</v>
      </c>
    </row>
    <row r="64" spans="1:4" ht="50.4" x14ac:dyDescent="0.35">
      <c r="A64" s="129">
        <v>10</v>
      </c>
      <c r="B64" s="128" t="s">
        <v>347</v>
      </c>
      <c r="C64" s="33" t="s">
        <v>523</v>
      </c>
      <c r="D64" s="94" t="s">
        <v>28</v>
      </c>
    </row>
    <row r="65" spans="1:4" ht="33.6" x14ac:dyDescent="0.35">
      <c r="A65" s="129"/>
      <c r="B65" s="128"/>
      <c r="C65" s="25" t="s">
        <v>348</v>
      </c>
      <c r="D65" s="94" t="s">
        <v>28</v>
      </c>
    </row>
    <row r="66" spans="1:4" ht="50.4" x14ac:dyDescent="0.35">
      <c r="A66" s="129"/>
      <c r="B66" s="128"/>
      <c r="C66" s="33" t="s">
        <v>524</v>
      </c>
      <c r="D66" s="94" t="s">
        <v>28</v>
      </c>
    </row>
    <row r="67" spans="1:4" ht="117.6" x14ac:dyDescent="0.35">
      <c r="A67" s="24">
        <v>11</v>
      </c>
      <c r="B67" s="25" t="s">
        <v>349</v>
      </c>
      <c r="C67" s="48" t="s">
        <v>525</v>
      </c>
      <c r="D67" s="94" t="s">
        <v>28</v>
      </c>
    </row>
    <row r="68" spans="1:4" ht="67.2" x14ac:dyDescent="0.35">
      <c r="A68" s="24">
        <v>12</v>
      </c>
      <c r="B68" s="25" t="s">
        <v>526</v>
      </c>
      <c r="C68" s="24" t="s">
        <v>350</v>
      </c>
      <c r="D68" s="94" t="s">
        <v>28</v>
      </c>
    </row>
    <row r="69" spans="1:4" ht="67.2" x14ac:dyDescent="0.35">
      <c r="A69" s="24">
        <v>13</v>
      </c>
      <c r="B69" s="25" t="s">
        <v>527</v>
      </c>
      <c r="C69" s="24" t="s">
        <v>351</v>
      </c>
      <c r="D69" s="94" t="s">
        <v>28</v>
      </c>
    </row>
    <row r="70" spans="1:4" ht="184.8" x14ac:dyDescent="0.35">
      <c r="A70" s="24">
        <v>14</v>
      </c>
      <c r="B70" s="25" t="s">
        <v>528</v>
      </c>
      <c r="C70" s="24" t="s">
        <v>28</v>
      </c>
      <c r="D70" s="94" t="s">
        <v>28</v>
      </c>
    </row>
    <row r="71" spans="1:4" ht="151.19999999999999" x14ac:dyDescent="0.35">
      <c r="A71" s="24">
        <v>15</v>
      </c>
      <c r="B71" s="25" t="s">
        <v>529</v>
      </c>
      <c r="C71" s="24" t="s">
        <v>28</v>
      </c>
      <c r="D71" s="94" t="s">
        <v>28</v>
      </c>
    </row>
    <row r="72" spans="1:4" ht="84" x14ac:dyDescent="0.35">
      <c r="A72" s="24">
        <v>16</v>
      </c>
      <c r="B72" s="25" t="s">
        <v>530</v>
      </c>
      <c r="C72" s="24" t="s">
        <v>28</v>
      </c>
      <c r="D72" s="94" t="s">
        <v>28</v>
      </c>
    </row>
    <row r="73" spans="1:4" ht="117.6" x14ac:dyDescent="0.35">
      <c r="A73" s="24">
        <v>17</v>
      </c>
      <c r="B73" s="25" t="s">
        <v>531</v>
      </c>
      <c r="C73" s="24" t="s">
        <v>28</v>
      </c>
      <c r="D73" s="94" t="s">
        <v>28</v>
      </c>
    </row>
    <row r="74" spans="1:4" ht="84" x14ac:dyDescent="0.35">
      <c r="A74" s="24">
        <v>18</v>
      </c>
      <c r="B74" s="25" t="s">
        <v>532</v>
      </c>
      <c r="C74" s="24" t="s">
        <v>28</v>
      </c>
      <c r="D74" s="94" t="s">
        <v>28</v>
      </c>
    </row>
    <row r="75" spans="1:4" ht="151.19999999999999" x14ac:dyDescent="0.35">
      <c r="A75" s="24">
        <v>19</v>
      </c>
      <c r="B75" s="25" t="s">
        <v>533</v>
      </c>
      <c r="C75" s="24" t="s">
        <v>28</v>
      </c>
      <c r="D75" s="94" t="s">
        <v>28</v>
      </c>
    </row>
    <row r="76" spans="1:4" ht="33.6" x14ac:dyDescent="0.35">
      <c r="A76" s="24">
        <v>20</v>
      </c>
      <c r="B76" s="25" t="s">
        <v>352</v>
      </c>
      <c r="C76" s="25"/>
      <c r="D76" s="38"/>
    </row>
    <row r="77" spans="1:4" x14ac:dyDescent="0.35">
      <c r="A77" s="24">
        <v>1</v>
      </c>
      <c r="B77" s="25" t="s">
        <v>353</v>
      </c>
      <c r="C77" s="24" t="s">
        <v>28</v>
      </c>
      <c r="D77" s="94" t="s">
        <v>28</v>
      </c>
    </row>
    <row r="78" spans="1:4" ht="50.4" x14ac:dyDescent="0.35">
      <c r="A78" s="24" t="s">
        <v>195</v>
      </c>
      <c r="B78" s="25" t="s">
        <v>534</v>
      </c>
      <c r="C78" s="24" t="s">
        <v>28</v>
      </c>
      <c r="D78" s="94" t="s">
        <v>28</v>
      </c>
    </row>
    <row r="79" spans="1:4" ht="134.4" x14ac:dyDescent="0.35">
      <c r="A79" s="24" t="s">
        <v>196</v>
      </c>
      <c r="B79" s="48" t="s">
        <v>535</v>
      </c>
      <c r="C79" s="24" t="s">
        <v>28</v>
      </c>
      <c r="D79" s="94" t="s">
        <v>28</v>
      </c>
    </row>
    <row r="80" spans="1:4" ht="84" x14ac:dyDescent="0.35">
      <c r="A80" s="24" t="s">
        <v>197</v>
      </c>
      <c r="B80" s="25" t="s">
        <v>536</v>
      </c>
      <c r="C80" s="24" t="s">
        <v>28</v>
      </c>
      <c r="D80" s="94" t="s">
        <v>28</v>
      </c>
    </row>
    <row r="81" spans="1:4" ht="201.6" x14ac:dyDescent="0.35">
      <c r="A81" s="24" t="s">
        <v>198</v>
      </c>
      <c r="B81" s="25" t="s">
        <v>537</v>
      </c>
      <c r="C81" s="24" t="s">
        <v>28</v>
      </c>
      <c r="D81" s="94" t="s">
        <v>28</v>
      </c>
    </row>
    <row r="82" spans="1:4" ht="100.8" x14ac:dyDescent="0.35">
      <c r="A82" s="24">
        <v>2</v>
      </c>
      <c r="B82" s="25" t="s">
        <v>538</v>
      </c>
      <c r="C82" s="24" t="s">
        <v>28</v>
      </c>
      <c r="D82" s="94" t="s">
        <v>28</v>
      </c>
    </row>
    <row r="83" spans="1:4" x14ac:dyDescent="0.35">
      <c r="A83" s="24">
        <v>3</v>
      </c>
      <c r="B83" s="25" t="s">
        <v>354</v>
      </c>
      <c r="C83" s="24" t="s">
        <v>28</v>
      </c>
      <c r="D83" s="94" t="s">
        <v>28</v>
      </c>
    </row>
    <row r="84" spans="1:4" ht="134.4" x14ac:dyDescent="0.35">
      <c r="A84" s="24" t="s">
        <v>79</v>
      </c>
      <c r="B84" s="25" t="s">
        <v>539</v>
      </c>
      <c r="C84" s="24" t="s">
        <v>28</v>
      </c>
      <c r="D84" s="94" t="s">
        <v>28</v>
      </c>
    </row>
    <row r="85" spans="1:4" ht="268.8" x14ac:dyDescent="0.35">
      <c r="A85" s="24" t="s">
        <v>80</v>
      </c>
      <c r="B85" s="25" t="s">
        <v>540</v>
      </c>
      <c r="C85" s="24" t="s">
        <v>28</v>
      </c>
      <c r="D85" s="94" t="s">
        <v>28</v>
      </c>
    </row>
    <row r="86" spans="1:4" ht="50.4" x14ac:dyDescent="0.35">
      <c r="A86" s="24">
        <v>4</v>
      </c>
      <c r="B86" s="25" t="s">
        <v>541</v>
      </c>
      <c r="C86" s="24" t="s">
        <v>28</v>
      </c>
      <c r="D86" s="94" t="s">
        <v>28</v>
      </c>
    </row>
    <row r="87" spans="1:4" ht="67.2" x14ac:dyDescent="0.35">
      <c r="A87" s="24" t="s">
        <v>220</v>
      </c>
      <c r="B87" s="25" t="s">
        <v>542</v>
      </c>
      <c r="C87" s="24" t="s">
        <v>28</v>
      </c>
      <c r="D87" s="94" t="s">
        <v>28</v>
      </c>
    </row>
    <row r="88" spans="1:4" ht="50.4" x14ac:dyDescent="0.35">
      <c r="A88" s="24" t="s">
        <v>221</v>
      </c>
      <c r="B88" s="25" t="s">
        <v>543</v>
      </c>
      <c r="C88" s="24" t="s">
        <v>28</v>
      </c>
      <c r="D88" s="94" t="s">
        <v>28</v>
      </c>
    </row>
    <row r="89" spans="1:4" ht="285.60000000000002" x14ac:dyDescent="0.35">
      <c r="A89" s="24" t="s">
        <v>222</v>
      </c>
      <c r="B89" s="25" t="s">
        <v>544</v>
      </c>
      <c r="C89" s="24" t="s">
        <v>28</v>
      </c>
      <c r="D89" s="94" t="s">
        <v>28</v>
      </c>
    </row>
    <row r="90" spans="1:4" ht="117.6" x14ac:dyDescent="0.35">
      <c r="A90" s="24" t="s">
        <v>223</v>
      </c>
      <c r="B90" s="25" t="s">
        <v>545</v>
      </c>
      <c r="C90" s="24" t="s">
        <v>28</v>
      </c>
      <c r="D90" s="94" t="s">
        <v>28</v>
      </c>
    </row>
    <row r="91" spans="1:4" ht="100.8" x14ac:dyDescent="0.35">
      <c r="A91" s="24" t="s">
        <v>224</v>
      </c>
      <c r="B91" s="25" t="s">
        <v>546</v>
      </c>
      <c r="C91" s="24" t="s">
        <v>28</v>
      </c>
      <c r="D91" s="94" t="s">
        <v>28</v>
      </c>
    </row>
    <row r="92" spans="1:4" ht="50.4" x14ac:dyDescent="0.35">
      <c r="A92" s="24">
        <v>5</v>
      </c>
      <c r="B92" s="25" t="s">
        <v>547</v>
      </c>
      <c r="C92" s="24" t="s">
        <v>28</v>
      </c>
      <c r="D92" s="94" t="s">
        <v>28</v>
      </c>
    </row>
    <row r="93" spans="1:4" ht="84" x14ac:dyDescent="0.35">
      <c r="A93" s="24" t="s">
        <v>29</v>
      </c>
      <c r="B93" s="25" t="s">
        <v>548</v>
      </c>
      <c r="C93" s="24" t="s">
        <v>28</v>
      </c>
      <c r="D93" s="94" t="s">
        <v>28</v>
      </c>
    </row>
    <row r="94" spans="1:4" ht="84" x14ac:dyDescent="0.35">
      <c r="A94" s="24" t="s">
        <v>30</v>
      </c>
      <c r="B94" s="25" t="s">
        <v>549</v>
      </c>
      <c r="C94" s="24" t="s">
        <v>28</v>
      </c>
      <c r="D94" s="94" t="s">
        <v>28</v>
      </c>
    </row>
    <row r="95" spans="1:4" ht="151.19999999999999" x14ac:dyDescent="0.35">
      <c r="A95" s="24" t="s">
        <v>31</v>
      </c>
      <c r="B95" s="25" t="s">
        <v>550</v>
      </c>
      <c r="C95" s="24" t="s">
        <v>28</v>
      </c>
      <c r="D95" s="94" t="s">
        <v>28</v>
      </c>
    </row>
    <row r="96" spans="1:4" ht="33.6" x14ac:dyDescent="0.35">
      <c r="A96" s="24">
        <v>6</v>
      </c>
      <c r="B96" s="25" t="s">
        <v>551</v>
      </c>
      <c r="C96" s="24" t="s">
        <v>28</v>
      </c>
      <c r="D96" s="94" t="s">
        <v>28</v>
      </c>
    </row>
    <row r="97" spans="1:4" ht="218.4" x14ac:dyDescent="0.35">
      <c r="A97" s="24" t="s">
        <v>67</v>
      </c>
      <c r="B97" s="25" t="s">
        <v>552</v>
      </c>
      <c r="C97" s="24" t="s">
        <v>28</v>
      </c>
      <c r="D97" s="94" t="s">
        <v>28</v>
      </c>
    </row>
    <row r="98" spans="1:4" ht="67.2" x14ac:dyDescent="0.35">
      <c r="A98" s="24" t="s">
        <v>69</v>
      </c>
      <c r="B98" s="25" t="s">
        <v>553</v>
      </c>
      <c r="C98" s="24" t="s">
        <v>28</v>
      </c>
      <c r="D98" s="94" t="s">
        <v>28</v>
      </c>
    </row>
    <row r="99" spans="1:4" ht="134.4" x14ac:dyDescent="0.35">
      <c r="A99" s="24" t="s">
        <v>70</v>
      </c>
      <c r="B99" s="25" t="s">
        <v>554</v>
      </c>
      <c r="C99" s="24" t="s">
        <v>28</v>
      </c>
      <c r="D99" s="94" t="s">
        <v>28</v>
      </c>
    </row>
    <row r="100" spans="1:4" ht="33.6" x14ac:dyDescent="0.35">
      <c r="A100" s="24">
        <v>7</v>
      </c>
      <c r="B100" s="25" t="s">
        <v>355</v>
      </c>
      <c r="C100" s="24" t="s">
        <v>28</v>
      </c>
      <c r="D100" s="94" t="s">
        <v>28</v>
      </c>
    </row>
    <row r="101" spans="1:4" ht="50.4" x14ac:dyDescent="0.35">
      <c r="A101" s="24" t="s">
        <v>89</v>
      </c>
      <c r="B101" s="25" t="s">
        <v>555</v>
      </c>
      <c r="C101" s="24" t="s">
        <v>28</v>
      </c>
      <c r="D101" s="94" t="s">
        <v>28</v>
      </c>
    </row>
    <row r="102" spans="1:4" ht="117.6" x14ac:dyDescent="0.35">
      <c r="A102" s="24" t="s">
        <v>90</v>
      </c>
      <c r="B102" s="25" t="s">
        <v>556</v>
      </c>
      <c r="C102" s="24" t="s">
        <v>28</v>
      </c>
      <c r="D102" s="94" t="s">
        <v>28</v>
      </c>
    </row>
    <row r="103" spans="1:4" ht="100.8" x14ac:dyDescent="0.35">
      <c r="A103" s="24" t="s">
        <v>91</v>
      </c>
      <c r="B103" s="48" t="s">
        <v>557</v>
      </c>
      <c r="C103" s="24" t="s">
        <v>28</v>
      </c>
      <c r="D103" s="94" t="s">
        <v>28</v>
      </c>
    </row>
    <row r="104" spans="1:4" ht="168" x14ac:dyDescent="0.35">
      <c r="A104" s="24" t="s">
        <v>92</v>
      </c>
      <c r="B104" s="25" t="s">
        <v>558</v>
      </c>
      <c r="C104" s="24" t="s">
        <v>28</v>
      </c>
      <c r="D104" s="94" t="s">
        <v>28</v>
      </c>
    </row>
    <row r="105" spans="1:4" ht="151.19999999999999" x14ac:dyDescent="0.35">
      <c r="A105" s="24" t="s">
        <v>93</v>
      </c>
      <c r="B105" s="25" t="s">
        <v>559</v>
      </c>
      <c r="C105" s="24" t="s">
        <v>28</v>
      </c>
      <c r="D105" s="94" t="s">
        <v>28</v>
      </c>
    </row>
    <row r="106" spans="1:4" ht="84" x14ac:dyDescent="0.35">
      <c r="A106" s="24" t="s">
        <v>94</v>
      </c>
      <c r="B106" s="25" t="s">
        <v>560</v>
      </c>
      <c r="C106" s="24" t="s">
        <v>28</v>
      </c>
      <c r="D106" s="94" t="s">
        <v>28</v>
      </c>
    </row>
    <row r="107" spans="1:4" ht="84" x14ac:dyDescent="0.35">
      <c r="A107" s="24" t="s">
        <v>95</v>
      </c>
      <c r="B107" s="25" t="s">
        <v>561</v>
      </c>
      <c r="C107" s="24" t="s">
        <v>28</v>
      </c>
      <c r="D107" s="94" t="s">
        <v>28</v>
      </c>
    </row>
    <row r="108" spans="1:4" ht="50.4" x14ac:dyDescent="0.35">
      <c r="A108" s="24" t="s">
        <v>96</v>
      </c>
      <c r="B108" s="25" t="s">
        <v>562</v>
      </c>
      <c r="C108" s="24" t="s">
        <v>28</v>
      </c>
      <c r="D108" s="94" t="s">
        <v>28</v>
      </c>
    </row>
    <row r="109" spans="1:4" ht="168" x14ac:dyDescent="0.35">
      <c r="A109" s="24" t="s">
        <v>97</v>
      </c>
      <c r="B109" s="25" t="s">
        <v>563</v>
      </c>
      <c r="C109" s="24" t="s">
        <v>28</v>
      </c>
      <c r="D109" s="94" t="s">
        <v>28</v>
      </c>
    </row>
    <row r="110" spans="1:4" ht="100.8" x14ac:dyDescent="0.35">
      <c r="A110" s="24" t="s">
        <v>98</v>
      </c>
      <c r="B110" s="25" t="s">
        <v>564</v>
      </c>
      <c r="C110" s="24" t="s">
        <v>28</v>
      </c>
      <c r="D110" s="94" t="s">
        <v>28</v>
      </c>
    </row>
    <row r="111" spans="1:4" ht="151.19999999999999" x14ac:dyDescent="0.35">
      <c r="A111" s="24" t="s">
        <v>99</v>
      </c>
      <c r="B111" s="25" t="s">
        <v>565</v>
      </c>
      <c r="C111" s="24" t="s">
        <v>28</v>
      </c>
      <c r="D111" s="94" t="s">
        <v>28</v>
      </c>
    </row>
    <row r="112" spans="1:4" ht="67.2" x14ac:dyDescent="0.35">
      <c r="A112" s="24" t="s">
        <v>100</v>
      </c>
      <c r="B112" s="25" t="s">
        <v>566</v>
      </c>
      <c r="C112" s="24" t="s">
        <v>28</v>
      </c>
      <c r="D112" s="94" t="s">
        <v>28</v>
      </c>
    </row>
    <row r="113" spans="1:4" ht="134.4" x14ac:dyDescent="0.35">
      <c r="A113" s="24" t="s">
        <v>102</v>
      </c>
      <c r="B113" s="25" t="s">
        <v>567</v>
      </c>
      <c r="C113" s="24" t="s">
        <v>28</v>
      </c>
      <c r="D113" s="94" t="s">
        <v>28</v>
      </c>
    </row>
    <row r="114" spans="1:4" ht="50.4" x14ac:dyDescent="0.35">
      <c r="A114" s="24" t="s">
        <v>103</v>
      </c>
      <c r="B114" s="25" t="s">
        <v>568</v>
      </c>
      <c r="C114" s="24" t="s">
        <v>28</v>
      </c>
      <c r="D114" s="94" t="s">
        <v>28</v>
      </c>
    </row>
    <row r="115" spans="1:4" ht="134.4" x14ac:dyDescent="0.35">
      <c r="A115" s="24" t="s">
        <v>104</v>
      </c>
      <c r="B115" s="25" t="s">
        <v>569</v>
      </c>
      <c r="C115" s="24" t="s">
        <v>28</v>
      </c>
      <c r="D115" s="94" t="s">
        <v>28</v>
      </c>
    </row>
    <row r="116" spans="1:4" ht="84" x14ac:dyDescent="0.35">
      <c r="A116" s="24" t="s">
        <v>356</v>
      </c>
      <c r="B116" s="25" t="s">
        <v>570</v>
      </c>
      <c r="C116" s="24" t="s">
        <v>28</v>
      </c>
      <c r="D116" s="94" t="s">
        <v>28</v>
      </c>
    </row>
    <row r="117" spans="1:4" x14ac:dyDescent="0.35">
      <c r="A117" s="24">
        <v>8</v>
      </c>
      <c r="B117" s="25" t="s">
        <v>357</v>
      </c>
      <c r="C117" s="24" t="s">
        <v>28</v>
      </c>
      <c r="D117" s="94" t="s">
        <v>28</v>
      </c>
    </row>
    <row r="118" spans="1:4" ht="50.4" x14ac:dyDescent="0.35">
      <c r="A118" s="24" t="s">
        <v>45</v>
      </c>
      <c r="B118" s="25" t="s">
        <v>571</v>
      </c>
      <c r="C118" s="24" t="s">
        <v>28</v>
      </c>
      <c r="D118" s="94" t="s">
        <v>28</v>
      </c>
    </row>
    <row r="119" spans="1:4" ht="33.6" x14ac:dyDescent="0.35">
      <c r="A119" s="24" t="s">
        <v>46</v>
      </c>
      <c r="B119" s="25" t="s">
        <v>358</v>
      </c>
      <c r="C119" s="24" t="s">
        <v>28</v>
      </c>
      <c r="D119" s="94" t="s">
        <v>28</v>
      </c>
    </row>
    <row r="120" spans="1:4" ht="33.6" x14ac:dyDescent="0.35">
      <c r="A120" s="24" t="s">
        <v>47</v>
      </c>
      <c r="B120" s="25" t="s">
        <v>572</v>
      </c>
      <c r="C120" s="24" t="s">
        <v>28</v>
      </c>
      <c r="D120" s="94" t="s">
        <v>28</v>
      </c>
    </row>
    <row r="121" spans="1:4" ht="33.6" x14ac:dyDescent="0.35">
      <c r="A121" s="24" t="s">
        <v>101</v>
      </c>
      <c r="B121" s="25" t="s">
        <v>573</v>
      </c>
      <c r="C121" s="24" t="s">
        <v>28</v>
      </c>
      <c r="D121" s="94" t="s">
        <v>28</v>
      </c>
    </row>
    <row r="122" spans="1:4" x14ac:dyDescent="0.35">
      <c r="A122" s="24">
        <v>9</v>
      </c>
      <c r="B122" s="25" t="s">
        <v>359</v>
      </c>
      <c r="C122" s="24" t="s">
        <v>28</v>
      </c>
      <c r="D122" s="94" t="s">
        <v>28</v>
      </c>
    </row>
    <row r="123" spans="1:4" ht="50.4" x14ac:dyDescent="0.35">
      <c r="A123" s="24" t="s">
        <v>35</v>
      </c>
      <c r="B123" s="25" t="s">
        <v>574</v>
      </c>
      <c r="C123" s="24" t="s">
        <v>28</v>
      </c>
      <c r="D123" s="94" t="s">
        <v>28</v>
      </c>
    </row>
    <row r="124" spans="1:4" ht="50.4" x14ac:dyDescent="0.35">
      <c r="A124" s="24" t="s">
        <v>36</v>
      </c>
      <c r="B124" s="25" t="s">
        <v>575</v>
      </c>
      <c r="C124" s="24" t="s">
        <v>28</v>
      </c>
      <c r="D124" s="94" t="s">
        <v>28</v>
      </c>
    </row>
    <row r="125" spans="1:4" ht="33.6" x14ac:dyDescent="0.35">
      <c r="A125" s="24" t="s">
        <v>22</v>
      </c>
      <c r="B125" s="25" t="s">
        <v>576</v>
      </c>
      <c r="C125" s="24" t="s">
        <v>28</v>
      </c>
      <c r="D125" s="94" t="s">
        <v>28</v>
      </c>
    </row>
    <row r="126" spans="1:4" ht="33.6" x14ac:dyDescent="0.35">
      <c r="A126" s="24">
        <v>10</v>
      </c>
      <c r="B126" s="25" t="s">
        <v>577</v>
      </c>
      <c r="C126" s="24" t="s">
        <v>28</v>
      </c>
      <c r="D126" s="94" t="s">
        <v>28</v>
      </c>
    </row>
    <row r="127" spans="1:4" ht="319.2" x14ac:dyDescent="0.35">
      <c r="A127" s="24" t="s">
        <v>51</v>
      </c>
      <c r="B127" s="48" t="s">
        <v>578</v>
      </c>
      <c r="C127" s="24" t="s">
        <v>28</v>
      </c>
      <c r="D127" s="94" t="s">
        <v>28</v>
      </c>
    </row>
    <row r="128" spans="1:4" ht="352.8" x14ac:dyDescent="0.35">
      <c r="A128" s="24" t="s">
        <v>52</v>
      </c>
      <c r="B128" s="25" t="s">
        <v>579</v>
      </c>
      <c r="C128" s="24" t="s">
        <v>28</v>
      </c>
      <c r="D128" s="94" t="s">
        <v>28</v>
      </c>
    </row>
    <row r="129" spans="1:4" ht="50.4" x14ac:dyDescent="0.35">
      <c r="A129" s="129" t="s">
        <v>105</v>
      </c>
      <c r="B129" s="25" t="s">
        <v>360</v>
      </c>
      <c r="C129" s="129" t="s">
        <v>28</v>
      </c>
      <c r="D129" s="94" t="s">
        <v>28</v>
      </c>
    </row>
    <row r="130" spans="1:4" ht="100.8" x14ac:dyDescent="0.35">
      <c r="A130" s="129"/>
      <c r="B130" s="25" t="s">
        <v>618</v>
      </c>
      <c r="C130" s="129"/>
      <c r="D130" s="94" t="s">
        <v>28</v>
      </c>
    </row>
    <row r="131" spans="1:4" ht="50.4" x14ac:dyDescent="0.35">
      <c r="A131" s="129"/>
      <c r="B131" s="25" t="s">
        <v>619</v>
      </c>
      <c r="C131" s="129"/>
      <c r="D131" s="94" t="s">
        <v>28</v>
      </c>
    </row>
    <row r="132" spans="1:4" ht="100.8" x14ac:dyDescent="0.35">
      <c r="A132" s="129"/>
      <c r="B132" s="30" t="s">
        <v>620</v>
      </c>
      <c r="C132" s="129"/>
      <c r="D132" s="94" t="s">
        <v>28</v>
      </c>
    </row>
    <row r="133" spans="1:4" ht="67.2" x14ac:dyDescent="0.35">
      <c r="A133" s="129"/>
      <c r="B133" s="25" t="s">
        <v>621</v>
      </c>
      <c r="C133" s="129"/>
      <c r="D133" s="94" t="s">
        <v>28</v>
      </c>
    </row>
    <row r="134" spans="1:4" ht="50.4" x14ac:dyDescent="0.35">
      <c r="A134" s="129"/>
      <c r="B134" s="25" t="s">
        <v>622</v>
      </c>
      <c r="C134" s="129"/>
      <c r="D134" s="94" t="s">
        <v>28</v>
      </c>
    </row>
    <row r="135" spans="1:4" ht="50.4" x14ac:dyDescent="0.35">
      <c r="A135" s="129"/>
      <c r="B135" s="30" t="s">
        <v>623</v>
      </c>
      <c r="C135" s="129"/>
      <c r="D135" s="94" t="s">
        <v>28</v>
      </c>
    </row>
    <row r="136" spans="1:4" ht="184.8" x14ac:dyDescent="0.35">
      <c r="A136" s="24" t="s">
        <v>106</v>
      </c>
      <c r="B136" s="25" t="s">
        <v>580</v>
      </c>
      <c r="C136" s="24" t="s">
        <v>28</v>
      </c>
      <c r="D136" s="94" t="s">
        <v>28</v>
      </c>
    </row>
    <row r="137" spans="1:4" ht="50.4" x14ac:dyDescent="0.35">
      <c r="A137" s="24">
        <v>11</v>
      </c>
      <c r="B137" s="25" t="s">
        <v>581</v>
      </c>
      <c r="C137" s="24" t="s">
        <v>28</v>
      </c>
      <c r="D137" s="94" t="s">
        <v>28</v>
      </c>
    </row>
    <row r="138" spans="1:4" ht="33.6" x14ac:dyDescent="0.35">
      <c r="A138" s="57" t="s">
        <v>201</v>
      </c>
      <c r="B138" s="58" t="s">
        <v>112</v>
      </c>
      <c r="C138" s="56"/>
      <c r="D138" s="38"/>
    </row>
    <row r="139" spans="1:4" ht="33.6" x14ac:dyDescent="0.35">
      <c r="A139" s="25"/>
      <c r="B139" s="25" t="s">
        <v>233</v>
      </c>
      <c r="C139" s="24" t="s">
        <v>7</v>
      </c>
      <c r="D139" s="94" t="s">
        <v>1468</v>
      </c>
    </row>
    <row r="140" spans="1:4" x14ac:dyDescent="0.35">
      <c r="A140" s="25"/>
      <c r="B140" s="25" t="s">
        <v>234</v>
      </c>
      <c r="C140" s="24" t="s">
        <v>7</v>
      </c>
      <c r="D140" s="94" t="s">
        <v>1469</v>
      </c>
    </row>
    <row r="141" spans="1:4" x14ac:dyDescent="0.35">
      <c r="A141" s="25"/>
      <c r="B141" s="25" t="s">
        <v>361</v>
      </c>
      <c r="C141" s="24" t="s">
        <v>114</v>
      </c>
      <c r="D141" s="94" t="s">
        <v>28</v>
      </c>
    </row>
    <row r="142" spans="1:4" x14ac:dyDescent="0.35">
      <c r="A142" s="24" t="s">
        <v>362</v>
      </c>
      <c r="B142" s="25" t="s">
        <v>363</v>
      </c>
      <c r="C142" s="25"/>
      <c r="D142" s="94"/>
    </row>
    <row r="143" spans="1:4" ht="84" x14ac:dyDescent="0.35">
      <c r="A143" s="25"/>
      <c r="B143" s="130" t="s">
        <v>624</v>
      </c>
      <c r="C143" s="59" t="s">
        <v>625</v>
      </c>
      <c r="D143" s="94" t="s">
        <v>28</v>
      </c>
    </row>
    <row r="144" spans="1:4" ht="117.6" x14ac:dyDescent="0.35">
      <c r="A144" s="127"/>
      <c r="B144" s="130"/>
      <c r="C144" s="60" t="s">
        <v>626</v>
      </c>
      <c r="D144" s="94" t="s">
        <v>28</v>
      </c>
    </row>
    <row r="145" spans="1:4" ht="67.2" x14ac:dyDescent="0.35">
      <c r="A145" s="127"/>
      <c r="B145" s="130"/>
      <c r="C145" s="60" t="s">
        <v>627</v>
      </c>
      <c r="D145" s="94" t="s">
        <v>28</v>
      </c>
    </row>
    <row r="146" spans="1:4" ht="33.6" x14ac:dyDescent="0.35">
      <c r="A146" s="25"/>
      <c r="B146" s="25" t="s">
        <v>364</v>
      </c>
      <c r="C146" s="25" t="s">
        <v>582</v>
      </c>
      <c r="D146" s="94" t="s">
        <v>28</v>
      </c>
    </row>
    <row r="147" spans="1:4" x14ac:dyDescent="0.35">
      <c r="A147" s="25"/>
      <c r="B147" s="7" t="s">
        <v>628</v>
      </c>
      <c r="C147" s="25" t="s">
        <v>39</v>
      </c>
      <c r="D147" s="94" t="s">
        <v>28</v>
      </c>
    </row>
    <row r="148" spans="1:4" x14ac:dyDescent="0.35">
      <c r="A148" s="25"/>
      <c r="B148" s="7" t="s">
        <v>629</v>
      </c>
      <c r="C148" s="25" t="s">
        <v>119</v>
      </c>
      <c r="D148" s="94" t="s">
        <v>28</v>
      </c>
    </row>
    <row r="149" spans="1:4" ht="84" x14ac:dyDescent="0.35">
      <c r="A149" s="25"/>
      <c r="B149" s="61" t="s">
        <v>630</v>
      </c>
      <c r="C149" s="54" t="s">
        <v>631</v>
      </c>
      <c r="D149" s="94" t="s">
        <v>28</v>
      </c>
    </row>
    <row r="150" spans="1:4" ht="33.6" x14ac:dyDescent="0.35">
      <c r="A150" s="25"/>
      <c r="B150" s="25" t="s">
        <v>365</v>
      </c>
      <c r="C150" s="24" t="s">
        <v>28</v>
      </c>
      <c r="D150" s="94" t="s">
        <v>28</v>
      </c>
    </row>
    <row r="151" spans="1:4" ht="50.4" x14ac:dyDescent="0.35">
      <c r="A151" s="25"/>
      <c r="B151" s="25" t="s">
        <v>73</v>
      </c>
      <c r="C151" s="25" t="s">
        <v>583</v>
      </c>
      <c r="D151" s="94" t="s">
        <v>28</v>
      </c>
    </row>
    <row r="152" spans="1:4" x14ac:dyDescent="0.35">
      <c r="A152" s="24" t="s">
        <v>366</v>
      </c>
      <c r="B152" s="25" t="s">
        <v>367</v>
      </c>
      <c r="C152" s="25"/>
      <c r="D152" s="38"/>
    </row>
    <row r="153" spans="1:4" ht="50.4" x14ac:dyDescent="0.35">
      <c r="A153" s="127"/>
      <c r="B153" s="132" t="s">
        <v>632</v>
      </c>
      <c r="C153" s="60" t="s">
        <v>633</v>
      </c>
      <c r="D153" s="94" t="s">
        <v>28</v>
      </c>
    </row>
    <row r="154" spans="1:4" ht="67.2" x14ac:dyDescent="0.35">
      <c r="A154" s="127"/>
      <c r="B154" s="132"/>
      <c r="C154" s="60" t="s">
        <v>634</v>
      </c>
      <c r="D154" s="94" t="s">
        <v>28</v>
      </c>
    </row>
    <row r="155" spans="1:4" x14ac:dyDescent="0.35">
      <c r="A155" s="127"/>
      <c r="B155" s="132"/>
      <c r="C155" s="60" t="s">
        <v>635</v>
      </c>
      <c r="D155" s="94" t="s">
        <v>28</v>
      </c>
    </row>
    <row r="156" spans="1:4" x14ac:dyDescent="0.35">
      <c r="A156" s="127"/>
      <c r="B156" s="132"/>
      <c r="C156" s="48" t="s">
        <v>636</v>
      </c>
      <c r="D156" s="94" t="s">
        <v>28</v>
      </c>
    </row>
    <row r="157" spans="1:4" ht="33.6" x14ac:dyDescent="0.35">
      <c r="A157" s="127"/>
      <c r="B157" s="132"/>
      <c r="C157" s="48" t="s">
        <v>368</v>
      </c>
      <c r="D157" s="94" t="s">
        <v>28</v>
      </c>
    </row>
    <row r="158" spans="1:4" ht="50.4" x14ac:dyDescent="0.35">
      <c r="A158" s="127"/>
      <c r="B158" s="132"/>
      <c r="C158" s="48" t="s">
        <v>637</v>
      </c>
      <c r="D158" s="94" t="s">
        <v>28</v>
      </c>
    </row>
    <row r="159" spans="1:4" ht="50.4" x14ac:dyDescent="0.35">
      <c r="A159" s="127"/>
      <c r="B159" s="132"/>
      <c r="C159" s="33" t="s">
        <v>584</v>
      </c>
      <c r="D159" s="94" t="s">
        <v>28</v>
      </c>
    </row>
    <row r="160" spans="1:4" ht="50.4" x14ac:dyDescent="0.35">
      <c r="A160" s="127"/>
      <c r="B160" s="132" t="s">
        <v>638</v>
      </c>
      <c r="C160" s="60" t="s">
        <v>639</v>
      </c>
      <c r="D160" s="94" t="s">
        <v>28</v>
      </c>
    </row>
    <row r="161" spans="1:4" ht="67.2" x14ac:dyDescent="0.35">
      <c r="A161" s="127"/>
      <c r="B161" s="132"/>
      <c r="C161" s="60" t="s">
        <v>634</v>
      </c>
      <c r="D161" s="94" t="s">
        <v>28</v>
      </c>
    </row>
    <row r="162" spans="1:4" x14ac:dyDescent="0.35">
      <c r="A162" s="127"/>
      <c r="B162" s="132"/>
      <c r="C162" s="25" t="s">
        <v>369</v>
      </c>
      <c r="D162" s="94" t="s">
        <v>28</v>
      </c>
    </row>
    <row r="163" spans="1:4" x14ac:dyDescent="0.35">
      <c r="A163" s="127"/>
      <c r="B163" s="132"/>
      <c r="C163" s="32" t="s">
        <v>640</v>
      </c>
      <c r="D163" s="94" t="s">
        <v>28</v>
      </c>
    </row>
    <row r="164" spans="1:4" ht="33.6" x14ac:dyDescent="0.35">
      <c r="A164" s="127"/>
      <c r="B164" s="132"/>
      <c r="C164" s="32" t="s">
        <v>641</v>
      </c>
      <c r="D164" s="94" t="s">
        <v>28</v>
      </c>
    </row>
    <row r="165" spans="1:4" ht="50.4" x14ac:dyDescent="0.35">
      <c r="A165" s="127"/>
      <c r="B165" s="132"/>
      <c r="C165" s="54" t="s">
        <v>642</v>
      </c>
      <c r="D165" s="94" t="s">
        <v>28</v>
      </c>
    </row>
    <row r="166" spans="1:4" ht="50.4" x14ac:dyDescent="0.35">
      <c r="A166" s="127"/>
      <c r="B166" s="132"/>
      <c r="C166" s="30" t="s">
        <v>124</v>
      </c>
      <c r="D166" s="94" t="s">
        <v>28</v>
      </c>
    </row>
    <row r="167" spans="1:4" ht="50.4" x14ac:dyDescent="0.35">
      <c r="A167" s="127"/>
      <c r="B167" s="132"/>
      <c r="C167" s="54" t="s">
        <v>643</v>
      </c>
      <c r="D167" s="94" t="s">
        <v>28</v>
      </c>
    </row>
    <row r="168" spans="1:4" ht="33.6" x14ac:dyDescent="0.35">
      <c r="A168" s="26" t="s">
        <v>202</v>
      </c>
      <c r="B168" s="7" t="s">
        <v>370</v>
      </c>
      <c r="C168" s="25"/>
      <c r="D168" s="38"/>
    </row>
    <row r="169" spans="1:4" x14ac:dyDescent="0.35">
      <c r="A169" s="26" t="s">
        <v>371</v>
      </c>
      <c r="B169" s="7" t="s">
        <v>372</v>
      </c>
      <c r="C169" s="25"/>
      <c r="D169" s="38"/>
    </row>
    <row r="170" spans="1:4" ht="33.6" x14ac:dyDescent="0.35">
      <c r="A170" s="127"/>
      <c r="B170" s="25" t="s">
        <v>233</v>
      </c>
      <c r="C170" s="24" t="s">
        <v>7</v>
      </c>
      <c r="D170" s="94" t="s">
        <v>1468</v>
      </c>
    </row>
    <row r="171" spans="1:4" x14ac:dyDescent="0.35">
      <c r="A171" s="127"/>
      <c r="B171" s="25" t="s">
        <v>234</v>
      </c>
      <c r="C171" s="24" t="s">
        <v>7</v>
      </c>
      <c r="D171" s="96" t="s">
        <v>1447</v>
      </c>
    </row>
    <row r="172" spans="1:4" x14ac:dyDescent="0.35">
      <c r="A172" s="127"/>
      <c r="B172" s="25" t="s">
        <v>373</v>
      </c>
      <c r="C172" s="24" t="s">
        <v>374</v>
      </c>
      <c r="D172" s="94" t="s">
        <v>28</v>
      </c>
    </row>
    <row r="173" spans="1:4" x14ac:dyDescent="0.35">
      <c r="A173" s="127"/>
      <c r="B173" s="25" t="s">
        <v>375</v>
      </c>
      <c r="C173" s="25"/>
      <c r="D173" s="94"/>
    </row>
    <row r="174" spans="1:4" ht="50.4" x14ac:dyDescent="0.35">
      <c r="A174" s="127"/>
      <c r="B174" s="25" t="s">
        <v>376</v>
      </c>
      <c r="C174" s="24" t="s">
        <v>585</v>
      </c>
      <c r="D174" s="94" t="s">
        <v>28</v>
      </c>
    </row>
    <row r="175" spans="1:4" ht="67.2" x14ac:dyDescent="0.35">
      <c r="A175" s="127"/>
      <c r="B175" s="25" t="s">
        <v>377</v>
      </c>
      <c r="C175" s="24" t="s">
        <v>586</v>
      </c>
      <c r="D175" s="94" t="s">
        <v>28</v>
      </c>
    </row>
    <row r="176" spans="1:4" x14ac:dyDescent="0.35">
      <c r="A176" s="127"/>
      <c r="B176" s="25" t="s">
        <v>378</v>
      </c>
      <c r="C176" s="24" t="s">
        <v>379</v>
      </c>
      <c r="D176" s="94" t="s">
        <v>28</v>
      </c>
    </row>
    <row r="177" spans="1:4" ht="50.4" x14ac:dyDescent="0.35">
      <c r="A177" s="127"/>
      <c r="B177" s="25" t="s">
        <v>380</v>
      </c>
      <c r="C177" s="24" t="s">
        <v>587</v>
      </c>
      <c r="D177" s="94" t="s">
        <v>1448</v>
      </c>
    </row>
    <row r="178" spans="1:4" ht="33.6" x14ac:dyDescent="0.35">
      <c r="A178" s="127"/>
      <c r="B178" s="25" t="s">
        <v>381</v>
      </c>
      <c r="C178" s="24" t="s">
        <v>588</v>
      </c>
      <c r="D178" s="94" t="s">
        <v>28</v>
      </c>
    </row>
    <row r="179" spans="1:4" ht="33.6" x14ac:dyDescent="0.35">
      <c r="A179" s="127"/>
      <c r="B179" s="25" t="s">
        <v>382</v>
      </c>
      <c r="C179" s="24" t="s">
        <v>589</v>
      </c>
      <c r="D179" s="94" t="s">
        <v>28</v>
      </c>
    </row>
    <row r="180" spans="1:4" x14ac:dyDescent="0.35">
      <c r="A180" s="127"/>
      <c r="B180" s="25" t="s">
        <v>383</v>
      </c>
      <c r="C180" s="24" t="s">
        <v>384</v>
      </c>
      <c r="D180" s="94" t="s">
        <v>28</v>
      </c>
    </row>
    <row r="181" spans="1:4" ht="33.6" x14ac:dyDescent="0.35">
      <c r="A181" s="127"/>
      <c r="B181" s="25" t="s">
        <v>385</v>
      </c>
      <c r="C181" s="24" t="s">
        <v>590</v>
      </c>
      <c r="D181" s="94" t="s">
        <v>28</v>
      </c>
    </row>
    <row r="182" spans="1:4" x14ac:dyDescent="0.35">
      <c r="A182" s="127"/>
      <c r="B182" s="25" t="s">
        <v>386</v>
      </c>
      <c r="C182" s="24" t="s">
        <v>387</v>
      </c>
      <c r="D182" s="94" t="s">
        <v>28</v>
      </c>
    </row>
    <row r="183" spans="1:4" ht="84" x14ac:dyDescent="0.35">
      <c r="A183" s="127"/>
      <c r="B183" s="25" t="s">
        <v>388</v>
      </c>
      <c r="C183" s="24" t="s">
        <v>591</v>
      </c>
      <c r="D183" s="94" t="s">
        <v>28</v>
      </c>
    </row>
    <row r="184" spans="1:4" x14ac:dyDescent="0.35">
      <c r="A184" s="127"/>
      <c r="B184" s="25" t="s">
        <v>389</v>
      </c>
      <c r="C184" s="24" t="s">
        <v>390</v>
      </c>
      <c r="D184" s="94" t="s">
        <v>28</v>
      </c>
    </row>
    <row r="185" spans="1:4" ht="33.6" x14ac:dyDescent="0.35">
      <c r="A185" s="127"/>
      <c r="B185" s="25" t="s">
        <v>391</v>
      </c>
      <c r="C185" s="24" t="s">
        <v>592</v>
      </c>
      <c r="D185" s="94" t="s">
        <v>28</v>
      </c>
    </row>
    <row r="186" spans="1:4" x14ac:dyDescent="0.35">
      <c r="A186" s="127"/>
      <c r="B186" s="25" t="s">
        <v>392</v>
      </c>
      <c r="C186" s="24" t="s">
        <v>393</v>
      </c>
      <c r="D186" s="94" t="s">
        <v>28</v>
      </c>
    </row>
    <row r="187" spans="1:4" x14ac:dyDescent="0.35">
      <c r="A187" s="127"/>
      <c r="B187" s="25" t="s">
        <v>644</v>
      </c>
      <c r="C187" s="131" t="s">
        <v>394</v>
      </c>
      <c r="D187" s="94" t="s">
        <v>28</v>
      </c>
    </row>
    <row r="188" spans="1:4" ht="50.4" x14ac:dyDescent="0.35">
      <c r="A188" s="127"/>
      <c r="B188" s="25" t="s">
        <v>645</v>
      </c>
      <c r="C188" s="131"/>
      <c r="D188" s="94" t="s">
        <v>28</v>
      </c>
    </row>
    <row r="189" spans="1:4" x14ac:dyDescent="0.35">
      <c r="A189" s="26" t="s">
        <v>395</v>
      </c>
      <c r="B189" s="7" t="s">
        <v>396</v>
      </c>
      <c r="C189" s="25"/>
      <c r="D189" s="38"/>
    </row>
    <row r="190" spans="1:4" ht="33.6" x14ac:dyDescent="0.35">
      <c r="A190" s="25"/>
      <c r="B190" s="25" t="s">
        <v>233</v>
      </c>
      <c r="C190" s="24" t="s">
        <v>7</v>
      </c>
      <c r="D190" s="94" t="s">
        <v>1449</v>
      </c>
    </row>
    <row r="191" spans="1:4" x14ac:dyDescent="0.35">
      <c r="A191" s="127"/>
      <c r="B191" s="25" t="s">
        <v>234</v>
      </c>
      <c r="C191" s="24" t="s">
        <v>7</v>
      </c>
      <c r="D191" s="94" t="s">
        <v>1450</v>
      </c>
    </row>
    <row r="192" spans="1:4" x14ac:dyDescent="0.35">
      <c r="A192" s="127"/>
      <c r="B192" s="25" t="s">
        <v>373</v>
      </c>
      <c r="C192" s="24" t="s">
        <v>396</v>
      </c>
      <c r="D192" s="94" t="s">
        <v>28</v>
      </c>
    </row>
    <row r="193" spans="1:4" x14ac:dyDescent="0.35">
      <c r="A193" s="127"/>
      <c r="B193" s="25" t="s">
        <v>88</v>
      </c>
      <c r="C193" s="25"/>
      <c r="D193" s="94"/>
    </row>
    <row r="194" spans="1:4" x14ac:dyDescent="0.35">
      <c r="A194" s="127"/>
      <c r="B194" s="30" t="s">
        <v>397</v>
      </c>
      <c r="C194" s="4" t="s">
        <v>646</v>
      </c>
      <c r="D194" s="94" t="s">
        <v>28</v>
      </c>
    </row>
    <row r="195" spans="1:4" x14ac:dyDescent="0.35">
      <c r="A195" s="127"/>
      <c r="B195" s="30" t="s">
        <v>398</v>
      </c>
      <c r="C195" s="24" t="s">
        <v>399</v>
      </c>
      <c r="D195" s="94" t="s">
        <v>28</v>
      </c>
    </row>
    <row r="196" spans="1:4" x14ac:dyDescent="0.35">
      <c r="A196" s="127"/>
      <c r="B196" s="30" t="s">
        <v>400</v>
      </c>
      <c r="C196" s="24" t="s">
        <v>401</v>
      </c>
      <c r="D196" s="94" t="s">
        <v>28</v>
      </c>
    </row>
    <row r="197" spans="1:4" x14ac:dyDescent="0.35">
      <c r="A197" s="127"/>
      <c r="B197" s="30" t="s">
        <v>402</v>
      </c>
      <c r="C197" s="4" t="s">
        <v>647</v>
      </c>
      <c r="D197" s="94" t="s">
        <v>28</v>
      </c>
    </row>
    <row r="198" spans="1:4" x14ac:dyDescent="0.35">
      <c r="A198" s="127"/>
      <c r="B198" s="30" t="s">
        <v>403</v>
      </c>
      <c r="C198" s="24" t="s">
        <v>404</v>
      </c>
      <c r="D198" s="94" t="s">
        <v>28</v>
      </c>
    </row>
    <row r="199" spans="1:4" ht="33.6" x14ac:dyDescent="0.35">
      <c r="A199" s="127"/>
      <c r="B199" s="30" t="s">
        <v>405</v>
      </c>
      <c r="C199" s="24" t="s">
        <v>406</v>
      </c>
      <c r="D199" s="94" t="s">
        <v>28</v>
      </c>
    </row>
    <row r="200" spans="1:4" x14ac:dyDescent="0.35">
      <c r="A200" s="127"/>
      <c r="B200" s="30" t="s">
        <v>407</v>
      </c>
      <c r="C200" s="24" t="s">
        <v>408</v>
      </c>
      <c r="D200" s="94" t="s">
        <v>28</v>
      </c>
    </row>
    <row r="201" spans="1:4" x14ac:dyDescent="0.35">
      <c r="A201" s="127"/>
      <c r="B201" s="30" t="s">
        <v>392</v>
      </c>
      <c r="C201" s="24" t="s">
        <v>409</v>
      </c>
      <c r="D201" s="94" t="s">
        <v>28</v>
      </c>
    </row>
    <row r="202" spans="1:4" x14ac:dyDescent="0.35">
      <c r="A202" s="26" t="s">
        <v>203</v>
      </c>
      <c r="B202" s="7" t="s">
        <v>410</v>
      </c>
      <c r="C202" s="25"/>
      <c r="D202" s="38"/>
    </row>
    <row r="203" spans="1:4" ht="33.6" x14ac:dyDescent="0.35">
      <c r="A203" s="127"/>
      <c r="B203" s="25" t="s">
        <v>233</v>
      </c>
      <c r="C203" s="24" t="s">
        <v>7</v>
      </c>
      <c r="D203" s="94" t="s">
        <v>1574</v>
      </c>
    </row>
    <row r="204" spans="1:4" x14ac:dyDescent="0.35">
      <c r="A204" s="127"/>
      <c r="B204" s="25" t="s">
        <v>234</v>
      </c>
      <c r="C204" s="24" t="s">
        <v>7</v>
      </c>
      <c r="D204" s="94" t="s">
        <v>1470</v>
      </c>
    </row>
    <row r="205" spans="1:4" x14ac:dyDescent="0.35">
      <c r="A205" s="127"/>
      <c r="B205" s="25" t="s">
        <v>411</v>
      </c>
      <c r="C205" s="24" t="s">
        <v>412</v>
      </c>
      <c r="D205" s="94" t="s">
        <v>28</v>
      </c>
    </row>
    <row r="206" spans="1:4" x14ac:dyDescent="0.35">
      <c r="A206" s="127"/>
      <c r="B206" s="25" t="s">
        <v>413</v>
      </c>
      <c r="C206" s="24" t="s">
        <v>414</v>
      </c>
      <c r="D206" s="94" t="s">
        <v>28</v>
      </c>
    </row>
    <row r="207" spans="1:4" x14ac:dyDescent="0.35">
      <c r="A207" s="127"/>
      <c r="B207" s="127" t="s">
        <v>415</v>
      </c>
      <c r="C207" s="24" t="s">
        <v>416</v>
      </c>
      <c r="D207" s="94" t="s">
        <v>28</v>
      </c>
    </row>
    <row r="208" spans="1:4" ht="33.6" x14ac:dyDescent="0.35">
      <c r="A208" s="127"/>
      <c r="B208" s="127"/>
      <c r="C208" s="24" t="s">
        <v>648</v>
      </c>
      <c r="D208" s="94" t="s">
        <v>28</v>
      </c>
    </row>
    <row r="209" spans="1:4" ht="33.6" x14ac:dyDescent="0.35">
      <c r="A209" s="127"/>
      <c r="B209" s="25" t="s">
        <v>417</v>
      </c>
      <c r="C209" s="24" t="s">
        <v>593</v>
      </c>
      <c r="D209" s="94" t="s">
        <v>28</v>
      </c>
    </row>
    <row r="210" spans="1:4" ht="33.6" x14ac:dyDescent="0.35">
      <c r="A210" s="127"/>
      <c r="B210" s="25" t="s">
        <v>418</v>
      </c>
      <c r="C210" s="34" t="s">
        <v>594</v>
      </c>
      <c r="D210" s="94" t="s">
        <v>28</v>
      </c>
    </row>
    <row r="211" spans="1:4" x14ac:dyDescent="0.35">
      <c r="A211" s="127"/>
      <c r="B211" s="25" t="s">
        <v>419</v>
      </c>
      <c r="C211" s="25"/>
      <c r="D211" s="38"/>
    </row>
    <row r="212" spans="1:4" ht="100.8" x14ac:dyDescent="0.35">
      <c r="A212" s="127"/>
      <c r="B212" s="48" t="s">
        <v>595</v>
      </c>
      <c r="C212" s="4" t="s">
        <v>649</v>
      </c>
      <c r="D212" s="94" t="s">
        <v>28</v>
      </c>
    </row>
    <row r="213" spans="1:4" ht="33.6" x14ac:dyDescent="0.35">
      <c r="A213" s="127"/>
      <c r="B213" s="25" t="s">
        <v>341</v>
      </c>
      <c r="C213" s="4" t="s">
        <v>616</v>
      </c>
      <c r="D213" s="94" t="s">
        <v>28</v>
      </c>
    </row>
    <row r="214" spans="1:4" ht="84" x14ac:dyDescent="0.35">
      <c r="A214" s="127"/>
      <c r="B214" s="48" t="s">
        <v>596</v>
      </c>
      <c r="C214" s="4" t="s">
        <v>649</v>
      </c>
      <c r="D214" s="94" t="s">
        <v>28</v>
      </c>
    </row>
    <row r="215" spans="1:4" ht="33.6" x14ac:dyDescent="0.35">
      <c r="A215" s="127"/>
      <c r="B215" s="25" t="s">
        <v>420</v>
      </c>
      <c r="C215" s="4" t="s">
        <v>650</v>
      </c>
      <c r="D215" s="94" t="s">
        <v>28</v>
      </c>
    </row>
    <row r="216" spans="1:4" x14ac:dyDescent="0.35">
      <c r="A216" s="127"/>
      <c r="B216" s="25" t="s">
        <v>421</v>
      </c>
      <c r="C216" s="4" t="s">
        <v>651</v>
      </c>
      <c r="D216" s="94" t="s">
        <v>28</v>
      </c>
    </row>
    <row r="217" spans="1:4" ht="33.6" x14ac:dyDescent="0.35">
      <c r="A217" s="127"/>
      <c r="B217" s="25" t="s">
        <v>422</v>
      </c>
      <c r="C217" s="24" t="s">
        <v>423</v>
      </c>
      <c r="D217" s="94" t="s">
        <v>28</v>
      </c>
    </row>
    <row r="218" spans="1:4" ht="50.4" x14ac:dyDescent="0.35">
      <c r="A218" s="127"/>
      <c r="B218" s="25" t="s">
        <v>597</v>
      </c>
      <c r="C218" s="24" t="s">
        <v>39</v>
      </c>
      <c r="D218" s="94" t="s">
        <v>28</v>
      </c>
    </row>
    <row r="219" spans="1:4" x14ac:dyDescent="0.35">
      <c r="A219" s="127"/>
      <c r="B219" s="25" t="s">
        <v>424</v>
      </c>
      <c r="C219" s="24" t="s">
        <v>425</v>
      </c>
      <c r="D219" s="94" t="s">
        <v>28</v>
      </c>
    </row>
    <row r="220" spans="1:4" ht="33.6" x14ac:dyDescent="0.35">
      <c r="A220" s="127"/>
      <c r="B220" s="25" t="s">
        <v>426</v>
      </c>
      <c r="C220" s="24" t="s">
        <v>592</v>
      </c>
      <c r="D220" s="94" t="s">
        <v>28</v>
      </c>
    </row>
    <row r="221" spans="1:4" ht="33.6" x14ac:dyDescent="0.35">
      <c r="A221" s="127"/>
      <c r="B221" s="25" t="s">
        <v>427</v>
      </c>
      <c r="C221" s="24" t="s">
        <v>598</v>
      </c>
      <c r="D221" s="94" t="s">
        <v>28</v>
      </c>
    </row>
    <row r="222" spans="1:4" ht="84" x14ac:dyDescent="0.35">
      <c r="A222" s="127"/>
      <c r="B222" s="25" t="s">
        <v>428</v>
      </c>
      <c r="C222" s="24" t="s">
        <v>599</v>
      </c>
      <c r="D222" s="94" t="s">
        <v>28</v>
      </c>
    </row>
    <row r="223" spans="1:4" ht="117.6" x14ac:dyDescent="0.35">
      <c r="A223" s="127"/>
      <c r="B223" s="25" t="s">
        <v>429</v>
      </c>
      <c r="C223" s="25" t="s">
        <v>600</v>
      </c>
      <c r="D223" s="94" t="s">
        <v>28</v>
      </c>
    </row>
    <row r="224" spans="1:4" x14ac:dyDescent="0.35">
      <c r="A224" s="127"/>
      <c r="B224" s="25" t="s">
        <v>430</v>
      </c>
      <c r="C224" s="129" t="s">
        <v>39</v>
      </c>
      <c r="D224" s="94" t="s">
        <v>28</v>
      </c>
    </row>
    <row r="225" spans="1:4" ht="50.4" x14ac:dyDescent="0.35">
      <c r="A225" s="127"/>
      <c r="B225" s="25" t="s">
        <v>431</v>
      </c>
      <c r="C225" s="129"/>
      <c r="D225" s="94" t="s">
        <v>28</v>
      </c>
    </row>
    <row r="226" spans="1:4" ht="84" x14ac:dyDescent="0.35">
      <c r="A226" s="127"/>
      <c r="B226" s="25" t="s">
        <v>432</v>
      </c>
      <c r="C226" s="129"/>
      <c r="D226" s="94" t="s">
        <v>28</v>
      </c>
    </row>
    <row r="227" spans="1:4" ht="50.4" x14ac:dyDescent="0.35">
      <c r="A227" s="127"/>
      <c r="B227" s="25" t="s">
        <v>433</v>
      </c>
      <c r="C227" s="129"/>
      <c r="D227" s="94" t="s">
        <v>28</v>
      </c>
    </row>
    <row r="228" spans="1:4" ht="50.4" x14ac:dyDescent="0.35">
      <c r="A228" s="127"/>
      <c r="B228" s="33" t="s">
        <v>652</v>
      </c>
      <c r="C228" s="129"/>
      <c r="D228" s="94" t="s">
        <v>28</v>
      </c>
    </row>
    <row r="229" spans="1:4" x14ac:dyDescent="0.35">
      <c r="A229" s="127"/>
      <c r="B229" s="127" t="s">
        <v>434</v>
      </c>
      <c r="C229" s="25" t="s">
        <v>435</v>
      </c>
      <c r="D229" s="94" t="s">
        <v>28</v>
      </c>
    </row>
    <row r="230" spans="1:4" x14ac:dyDescent="0.35">
      <c r="A230" s="127"/>
      <c r="B230" s="127"/>
      <c r="C230" s="25" t="s">
        <v>436</v>
      </c>
      <c r="D230" s="94" t="s">
        <v>28</v>
      </c>
    </row>
    <row r="231" spans="1:4" ht="67.2" x14ac:dyDescent="0.35">
      <c r="A231" s="127"/>
      <c r="B231" s="127"/>
      <c r="C231" s="33" t="s">
        <v>601</v>
      </c>
      <c r="D231" s="94" t="s">
        <v>28</v>
      </c>
    </row>
    <row r="232" spans="1:4" ht="51.6" x14ac:dyDescent="0.35">
      <c r="A232" s="26" t="s">
        <v>204</v>
      </c>
      <c r="B232" s="7" t="s">
        <v>653</v>
      </c>
      <c r="C232" s="25"/>
      <c r="D232" s="38"/>
    </row>
    <row r="233" spans="1:4" ht="33.6" x14ac:dyDescent="0.35">
      <c r="A233" s="127"/>
      <c r="B233" s="25" t="s">
        <v>233</v>
      </c>
      <c r="C233" s="24" t="s">
        <v>7</v>
      </c>
      <c r="D233" s="94" t="s">
        <v>1471</v>
      </c>
    </row>
    <row r="234" spans="1:4" x14ac:dyDescent="0.35">
      <c r="A234" s="127"/>
      <c r="B234" s="25" t="s">
        <v>234</v>
      </c>
      <c r="C234" s="24" t="s">
        <v>7</v>
      </c>
      <c r="D234" s="94" t="s">
        <v>1472</v>
      </c>
    </row>
    <row r="235" spans="1:4" x14ac:dyDescent="0.35">
      <c r="A235" s="127"/>
      <c r="B235" s="25" t="s">
        <v>88</v>
      </c>
      <c r="C235" s="25"/>
      <c r="D235" s="94"/>
    </row>
    <row r="236" spans="1:4" x14ac:dyDescent="0.35">
      <c r="A236" s="127"/>
      <c r="B236" s="25" t="s">
        <v>437</v>
      </c>
      <c r="C236" s="25"/>
      <c r="D236" s="94"/>
    </row>
    <row r="237" spans="1:4" x14ac:dyDescent="0.35">
      <c r="A237" s="127"/>
      <c r="B237" s="32" t="s">
        <v>76</v>
      </c>
      <c r="C237" s="24" t="s">
        <v>438</v>
      </c>
      <c r="D237" s="94" t="s">
        <v>28</v>
      </c>
    </row>
    <row r="238" spans="1:4" x14ac:dyDescent="0.35">
      <c r="A238" s="127"/>
      <c r="B238" s="25" t="s">
        <v>439</v>
      </c>
      <c r="C238" s="25"/>
      <c r="D238" s="94"/>
    </row>
    <row r="239" spans="1:4" x14ac:dyDescent="0.35">
      <c r="A239" s="127"/>
      <c r="B239" s="30" t="s">
        <v>440</v>
      </c>
      <c r="C239" s="24" t="s">
        <v>441</v>
      </c>
      <c r="D239" s="94" t="s">
        <v>28</v>
      </c>
    </row>
    <row r="240" spans="1:4" x14ac:dyDescent="0.35">
      <c r="A240" s="127"/>
      <c r="B240" s="30" t="s">
        <v>76</v>
      </c>
      <c r="C240" s="24" t="s">
        <v>654</v>
      </c>
      <c r="D240" s="94" t="s">
        <v>28</v>
      </c>
    </row>
    <row r="241" spans="1:4" x14ac:dyDescent="0.35">
      <c r="A241" s="127"/>
      <c r="B241" s="30" t="s">
        <v>442</v>
      </c>
      <c r="C241" s="24" t="s">
        <v>443</v>
      </c>
      <c r="D241" s="94" t="s">
        <v>28</v>
      </c>
    </row>
    <row r="242" spans="1:4" ht="67.2" x14ac:dyDescent="0.35">
      <c r="A242" s="127"/>
      <c r="B242" s="30" t="s">
        <v>444</v>
      </c>
      <c r="C242" s="32" t="s">
        <v>602</v>
      </c>
      <c r="D242" s="94" t="s">
        <v>28</v>
      </c>
    </row>
    <row r="243" spans="1:4" x14ac:dyDescent="0.35">
      <c r="A243" s="127"/>
      <c r="B243" s="30" t="s">
        <v>226</v>
      </c>
      <c r="C243" s="24" t="s">
        <v>655</v>
      </c>
      <c r="D243" s="94" t="s">
        <v>28</v>
      </c>
    </row>
    <row r="244" spans="1:4" x14ac:dyDescent="0.35">
      <c r="A244" s="127"/>
      <c r="B244" s="30" t="s">
        <v>445</v>
      </c>
      <c r="C244" s="47">
        <v>0.9</v>
      </c>
      <c r="D244" s="94" t="s">
        <v>28</v>
      </c>
    </row>
    <row r="245" spans="1:4" x14ac:dyDescent="0.35">
      <c r="A245" s="127"/>
      <c r="B245" s="25" t="s">
        <v>446</v>
      </c>
      <c r="C245" s="25"/>
      <c r="D245" s="94"/>
    </row>
    <row r="246" spans="1:4" ht="19.2" x14ac:dyDescent="0.35">
      <c r="A246" s="127"/>
      <c r="B246" s="30" t="s">
        <v>447</v>
      </c>
      <c r="C246" s="24" t="s">
        <v>656</v>
      </c>
      <c r="D246" s="94" t="s">
        <v>28</v>
      </c>
    </row>
    <row r="247" spans="1:4" x14ac:dyDescent="0.35">
      <c r="A247" s="127"/>
      <c r="B247" s="30" t="s">
        <v>448</v>
      </c>
      <c r="C247" s="24" t="s">
        <v>449</v>
      </c>
      <c r="D247" s="94" t="s">
        <v>28</v>
      </c>
    </row>
    <row r="248" spans="1:4" x14ac:dyDescent="0.35">
      <c r="A248" s="127"/>
      <c r="B248" s="30" t="s">
        <v>9</v>
      </c>
      <c r="C248" s="25"/>
      <c r="D248" s="94"/>
    </row>
    <row r="249" spans="1:4" ht="33.6" x14ac:dyDescent="0.35">
      <c r="A249" s="127"/>
      <c r="B249" s="30" t="s">
        <v>450</v>
      </c>
      <c r="C249" s="24" t="s">
        <v>603</v>
      </c>
      <c r="D249" s="94" t="s">
        <v>28</v>
      </c>
    </row>
    <row r="250" spans="1:4" ht="33.6" x14ac:dyDescent="0.35">
      <c r="A250" s="26" t="s">
        <v>205</v>
      </c>
      <c r="B250" s="7" t="s">
        <v>451</v>
      </c>
      <c r="C250" s="25"/>
      <c r="D250" s="38"/>
    </row>
    <row r="251" spans="1:4" ht="33.6" x14ac:dyDescent="0.35">
      <c r="A251" s="127"/>
      <c r="B251" s="25" t="s">
        <v>233</v>
      </c>
      <c r="C251" s="24" t="s">
        <v>7</v>
      </c>
      <c r="D251" s="94" t="s">
        <v>1473</v>
      </c>
    </row>
    <row r="252" spans="1:4" x14ac:dyDescent="0.35">
      <c r="A252" s="127"/>
      <c r="B252" s="25" t="s">
        <v>234</v>
      </c>
      <c r="C252" s="24" t="s">
        <v>7</v>
      </c>
      <c r="D252" s="94" t="s">
        <v>1474</v>
      </c>
    </row>
    <row r="253" spans="1:4" x14ac:dyDescent="0.35">
      <c r="A253" s="127"/>
      <c r="B253" s="25" t="s">
        <v>452</v>
      </c>
      <c r="C253" s="24" t="s">
        <v>39</v>
      </c>
      <c r="D253" s="94" t="s">
        <v>28</v>
      </c>
    </row>
    <row r="254" spans="1:4" x14ac:dyDescent="0.35">
      <c r="A254" s="127"/>
      <c r="B254" s="25" t="s">
        <v>453</v>
      </c>
      <c r="C254" s="24" t="s">
        <v>39</v>
      </c>
      <c r="D254" s="94" t="s">
        <v>28</v>
      </c>
    </row>
    <row r="255" spans="1:4" x14ac:dyDescent="0.35">
      <c r="A255" s="127"/>
      <c r="B255" s="25" t="s">
        <v>454</v>
      </c>
      <c r="C255" s="24" t="s">
        <v>455</v>
      </c>
      <c r="D255" s="94" t="s">
        <v>28</v>
      </c>
    </row>
    <row r="256" spans="1:4" x14ac:dyDescent="0.35">
      <c r="A256" s="127"/>
      <c r="B256" s="25" t="s">
        <v>456</v>
      </c>
      <c r="C256" s="24" t="s">
        <v>457</v>
      </c>
      <c r="D256" s="94" t="s">
        <v>28</v>
      </c>
    </row>
    <row r="257" spans="1:4" ht="33.6" x14ac:dyDescent="0.35">
      <c r="A257" s="127"/>
      <c r="B257" s="25" t="s">
        <v>458</v>
      </c>
      <c r="C257" s="24" t="s">
        <v>604</v>
      </c>
      <c r="D257" s="94" t="s">
        <v>28</v>
      </c>
    </row>
    <row r="258" spans="1:4" ht="33.6" x14ac:dyDescent="0.35">
      <c r="A258" s="127"/>
      <c r="B258" s="25" t="s">
        <v>459</v>
      </c>
      <c r="C258" s="4" t="s">
        <v>657</v>
      </c>
      <c r="D258" s="94" t="s">
        <v>28</v>
      </c>
    </row>
    <row r="259" spans="1:4" ht="33.6" x14ac:dyDescent="0.35">
      <c r="A259" s="127"/>
      <c r="B259" s="25" t="s">
        <v>460</v>
      </c>
      <c r="C259" s="24" t="s">
        <v>228</v>
      </c>
      <c r="D259" s="94" t="s">
        <v>28</v>
      </c>
    </row>
    <row r="260" spans="1:4" x14ac:dyDescent="0.35">
      <c r="A260" s="127"/>
      <c r="B260" s="25" t="s">
        <v>461</v>
      </c>
      <c r="C260" s="24" t="s">
        <v>462</v>
      </c>
      <c r="D260" s="94" t="s">
        <v>28</v>
      </c>
    </row>
    <row r="261" spans="1:4" x14ac:dyDescent="0.35">
      <c r="A261" s="7" t="s">
        <v>206</v>
      </c>
      <c r="B261" s="7" t="s">
        <v>463</v>
      </c>
      <c r="C261" s="25"/>
      <c r="D261" s="38"/>
    </row>
    <row r="262" spans="1:4" ht="33.6" x14ac:dyDescent="0.35">
      <c r="A262" s="127"/>
      <c r="B262" s="25" t="s">
        <v>464</v>
      </c>
      <c r="C262" s="24" t="s">
        <v>7</v>
      </c>
      <c r="D262" s="94" t="s">
        <v>1475</v>
      </c>
    </row>
    <row r="263" spans="1:4" x14ac:dyDescent="0.35">
      <c r="A263" s="127"/>
      <c r="B263" s="25" t="s">
        <v>234</v>
      </c>
      <c r="C263" s="24" t="s">
        <v>7</v>
      </c>
      <c r="D263" s="94" t="s">
        <v>1476</v>
      </c>
    </row>
    <row r="264" spans="1:4" x14ac:dyDescent="0.35">
      <c r="A264" s="127"/>
      <c r="B264" s="7" t="s">
        <v>465</v>
      </c>
      <c r="C264" s="25"/>
      <c r="D264" s="94"/>
    </row>
    <row r="265" spans="1:4" ht="50.4" x14ac:dyDescent="0.35">
      <c r="A265" s="127"/>
      <c r="B265" s="25" t="s">
        <v>466</v>
      </c>
      <c r="C265" s="24" t="s">
        <v>467</v>
      </c>
      <c r="D265" s="94" t="s">
        <v>28</v>
      </c>
    </row>
    <row r="266" spans="1:4" ht="33.6" x14ac:dyDescent="0.35">
      <c r="A266" s="127"/>
      <c r="B266" s="127" t="s">
        <v>468</v>
      </c>
      <c r="C266" s="34" t="s">
        <v>281</v>
      </c>
      <c r="D266" s="94" t="s">
        <v>28</v>
      </c>
    </row>
    <row r="267" spans="1:4" ht="50.4" x14ac:dyDescent="0.35">
      <c r="A267" s="127"/>
      <c r="B267" s="127"/>
      <c r="C267" s="24" t="s">
        <v>282</v>
      </c>
      <c r="D267" s="94" t="s">
        <v>28</v>
      </c>
    </row>
    <row r="268" spans="1:4" ht="50.4" x14ac:dyDescent="0.35">
      <c r="A268" s="127"/>
      <c r="B268" s="25" t="s">
        <v>469</v>
      </c>
      <c r="C268" s="24" t="s">
        <v>283</v>
      </c>
      <c r="D268" s="94" t="s">
        <v>28</v>
      </c>
    </row>
    <row r="269" spans="1:4" ht="33.6" x14ac:dyDescent="0.35">
      <c r="A269" s="127"/>
      <c r="B269" s="127" t="s">
        <v>470</v>
      </c>
      <c r="C269" s="24" t="s">
        <v>284</v>
      </c>
      <c r="D269" s="94" t="s">
        <v>28</v>
      </c>
    </row>
    <row r="270" spans="1:4" ht="33.6" x14ac:dyDescent="0.35">
      <c r="A270" s="127"/>
      <c r="B270" s="127"/>
      <c r="C270" s="32" t="s">
        <v>285</v>
      </c>
      <c r="D270" s="94" t="s">
        <v>28</v>
      </c>
    </row>
    <row r="271" spans="1:4" ht="50.4" x14ac:dyDescent="0.35">
      <c r="A271" s="127"/>
      <c r="B271" s="127"/>
      <c r="C271" s="24" t="s">
        <v>286</v>
      </c>
      <c r="D271" s="94" t="s">
        <v>28</v>
      </c>
    </row>
    <row r="272" spans="1:4" x14ac:dyDescent="0.35">
      <c r="A272" s="127"/>
      <c r="B272" s="127" t="s">
        <v>471</v>
      </c>
      <c r="C272" s="24" t="s">
        <v>256</v>
      </c>
      <c r="D272" s="94" t="s">
        <v>28</v>
      </c>
    </row>
    <row r="273" spans="1:4" x14ac:dyDescent="0.35">
      <c r="A273" s="127"/>
      <c r="B273" s="127"/>
      <c r="C273" s="24" t="s">
        <v>257</v>
      </c>
      <c r="D273" s="94" t="s">
        <v>28</v>
      </c>
    </row>
    <row r="274" spans="1:4" x14ac:dyDescent="0.35">
      <c r="A274" s="127"/>
      <c r="B274" s="127"/>
      <c r="C274" s="24" t="s">
        <v>258</v>
      </c>
      <c r="D274" s="94" t="s">
        <v>28</v>
      </c>
    </row>
    <row r="275" spans="1:4" x14ac:dyDescent="0.35">
      <c r="A275" s="127"/>
      <c r="B275" s="25" t="s">
        <v>472</v>
      </c>
      <c r="C275" s="24" t="s">
        <v>28</v>
      </c>
      <c r="D275" s="94" t="s">
        <v>28</v>
      </c>
    </row>
    <row r="276" spans="1:4" ht="67.2" x14ac:dyDescent="0.35">
      <c r="A276" s="127"/>
      <c r="B276" s="48" t="s">
        <v>473</v>
      </c>
      <c r="C276" s="24" t="s">
        <v>28</v>
      </c>
      <c r="D276" s="94" t="s">
        <v>28</v>
      </c>
    </row>
    <row r="277" spans="1:4" ht="50.4" x14ac:dyDescent="0.35">
      <c r="A277" s="127"/>
      <c r="B277" s="128" t="s">
        <v>474</v>
      </c>
      <c r="C277" s="25" t="s">
        <v>605</v>
      </c>
      <c r="D277" s="94" t="s">
        <v>28</v>
      </c>
    </row>
    <row r="278" spans="1:4" x14ac:dyDescent="0.35">
      <c r="A278" s="127"/>
      <c r="B278" s="128"/>
      <c r="C278" s="24" t="s">
        <v>475</v>
      </c>
      <c r="D278" s="94" t="s">
        <v>28</v>
      </c>
    </row>
    <row r="279" spans="1:4" ht="67.2" x14ac:dyDescent="0.35">
      <c r="A279" s="127"/>
      <c r="B279" s="128"/>
      <c r="C279" s="24" t="s">
        <v>289</v>
      </c>
      <c r="D279" s="94" t="s">
        <v>28</v>
      </c>
    </row>
    <row r="280" spans="1:4" ht="67.2" x14ac:dyDescent="0.35">
      <c r="A280" s="127"/>
      <c r="B280" s="25" t="s">
        <v>476</v>
      </c>
      <c r="C280" s="24" t="s">
        <v>290</v>
      </c>
      <c r="D280" s="94" t="s">
        <v>28</v>
      </c>
    </row>
    <row r="281" spans="1:4" ht="50.4" x14ac:dyDescent="0.35">
      <c r="A281" s="127"/>
      <c r="B281" s="25"/>
      <c r="C281" s="32" t="s">
        <v>291</v>
      </c>
      <c r="D281" s="94" t="s">
        <v>28</v>
      </c>
    </row>
    <row r="282" spans="1:4" ht="67.2" x14ac:dyDescent="0.35">
      <c r="A282" s="127"/>
      <c r="B282" s="25"/>
      <c r="C282" s="24" t="s">
        <v>292</v>
      </c>
      <c r="D282" s="94" t="s">
        <v>28</v>
      </c>
    </row>
    <row r="283" spans="1:4" ht="134.4" x14ac:dyDescent="0.35">
      <c r="A283" s="127"/>
      <c r="B283" s="127" t="s">
        <v>477</v>
      </c>
      <c r="C283" s="24" t="s">
        <v>293</v>
      </c>
      <c r="D283" s="94" t="s">
        <v>28</v>
      </c>
    </row>
    <row r="284" spans="1:4" ht="36" x14ac:dyDescent="0.35">
      <c r="A284" s="127"/>
      <c r="B284" s="127"/>
      <c r="C284" s="25" t="s">
        <v>658</v>
      </c>
      <c r="D284" s="94" t="s">
        <v>28</v>
      </c>
    </row>
    <row r="285" spans="1:4" ht="33.6" x14ac:dyDescent="0.35">
      <c r="A285" s="127"/>
      <c r="B285" s="127"/>
      <c r="C285" s="24" t="s">
        <v>478</v>
      </c>
      <c r="D285" s="94" t="s">
        <v>28</v>
      </c>
    </row>
    <row r="286" spans="1:4" ht="33.6" x14ac:dyDescent="0.35">
      <c r="A286" s="127"/>
      <c r="B286" s="127"/>
      <c r="C286" s="24" t="s">
        <v>294</v>
      </c>
      <c r="D286" s="94" t="s">
        <v>28</v>
      </c>
    </row>
    <row r="287" spans="1:4" ht="134.4" x14ac:dyDescent="0.35">
      <c r="A287" s="127"/>
      <c r="B287" s="129" t="s">
        <v>479</v>
      </c>
      <c r="C287" s="24" t="s">
        <v>295</v>
      </c>
      <c r="D287" s="94" t="s">
        <v>28</v>
      </c>
    </row>
    <row r="288" spans="1:4" ht="117.6" x14ac:dyDescent="0.35">
      <c r="A288" s="127"/>
      <c r="B288" s="129"/>
      <c r="C288" s="24" t="s">
        <v>296</v>
      </c>
      <c r="D288" s="94" t="s">
        <v>28</v>
      </c>
    </row>
    <row r="289" spans="1:4" ht="151.19999999999999" x14ac:dyDescent="0.35">
      <c r="A289" s="127"/>
      <c r="B289" s="129"/>
      <c r="C289" s="24" t="s">
        <v>297</v>
      </c>
      <c r="D289" s="94" t="s">
        <v>28</v>
      </c>
    </row>
    <row r="290" spans="1:4" ht="50.4" x14ac:dyDescent="0.35">
      <c r="A290" s="127"/>
      <c r="B290" s="129"/>
      <c r="C290" s="34" t="s">
        <v>298</v>
      </c>
      <c r="D290" s="94" t="s">
        <v>28</v>
      </c>
    </row>
    <row r="291" spans="1:4" ht="67.2" x14ac:dyDescent="0.35">
      <c r="A291" s="127"/>
      <c r="B291" s="129"/>
      <c r="C291" s="24" t="s">
        <v>299</v>
      </c>
      <c r="D291" s="94" t="s">
        <v>28</v>
      </c>
    </row>
    <row r="292" spans="1:4" ht="33.6" x14ac:dyDescent="0.35">
      <c r="A292" s="127"/>
      <c r="B292" s="25" t="s">
        <v>480</v>
      </c>
      <c r="C292" s="24" t="s">
        <v>267</v>
      </c>
      <c r="D292" s="94" t="s">
        <v>28</v>
      </c>
    </row>
    <row r="293" spans="1:4" ht="33.6" x14ac:dyDescent="0.35">
      <c r="A293" s="127"/>
      <c r="B293" s="25" t="s">
        <v>481</v>
      </c>
      <c r="C293" s="24" t="s">
        <v>28</v>
      </c>
      <c r="D293" s="94" t="s">
        <v>28</v>
      </c>
    </row>
    <row r="294" spans="1:4" ht="33.6" x14ac:dyDescent="0.35">
      <c r="A294" s="127"/>
      <c r="B294" s="25" t="s">
        <v>482</v>
      </c>
      <c r="C294" s="24" t="s">
        <v>269</v>
      </c>
      <c r="D294" s="94" t="s">
        <v>28</v>
      </c>
    </row>
    <row r="295" spans="1:4" ht="50.4" x14ac:dyDescent="0.35">
      <c r="A295" s="127"/>
      <c r="B295" s="25" t="s">
        <v>483</v>
      </c>
      <c r="C295" s="24" t="s">
        <v>484</v>
      </c>
      <c r="D295" s="94" t="s">
        <v>28</v>
      </c>
    </row>
    <row r="296" spans="1:4" ht="67.2" x14ac:dyDescent="0.35">
      <c r="A296" s="127"/>
      <c r="B296" s="25" t="s">
        <v>485</v>
      </c>
      <c r="C296" s="24" t="s">
        <v>28</v>
      </c>
      <c r="D296" s="94" t="s">
        <v>28</v>
      </c>
    </row>
    <row r="297" spans="1:4" ht="18" thickBot="1" x14ac:dyDescent="0.4">
      <c r="A297" s="7" t="s">
        <v>207</v>
      </c>
      <c r="B297" s="7" t="s">
        <v>87</v>
      </c>
      <c r="C297" s="25"/>
      <c r="D297" s="94"/>
    </row>
    <row r="298" spans="1:4" ht="34.200000000000003" thickBot="1" x14ac:dyDescent="0.4">
      <c r="A298" s="127"/>
      <c r="B298" s="25" t="s">
        <v>233</v>
      </c>
      <c r="C298" s="24" t="s">
        <v>7</v>
      </c>
      <c r="D298" s="97" t="s">
        <v>1477</v>
      </c>
    </row>
    <row r="299" spans="1:4" ht="18.600000000000001" thickBot="1" x14ac:dyDescent="0.4">
      <c r="A299" s="127"/>
      <c r="B299" s="25" t="s">
        <v>234</v>
      </c>
      <c r="C299" s="24" t="s">
        <v>7</v>
      </c>
      <c r="D299" s="98" t="s">
        <v>1478</v>
      </c>
    </row>
    <row r="300" spans="1:4" ht="33.6" x14ac:dyDescent="0.35">
      <c r="A300" s="127"/>
      <c r="B300" s="25" t="s">
        <v>606</v>
      </c>
      <c r="C300" s="24" t="s">
        <v>486</v>
      </c>
      <c r="D300" s="94" t="s">
        <v>28</v>
      </c>
    </row>
    <row r="301" spans="1:4" ht="33.6" x14ac:dyDescent="0.35">
      <c r="A301" s="25"/>
      <c r="B301" s="25" t="s">
        <v>77</v>
      </c>
      <c r="C301" s="24" t="s">
        <v>487</v>
      </c>
      <c r="D301" s="94" t="s">
        <v>28</v>
      </c>
    </row>
    <row r="302" spans="1:4" ht="18" thickBot="1" x14ac:dyDescent="0.4">
      <c r="A302" s="62" t="s">
        <v>208</v>
      </c>
      <c r="B302" s="7" t="s">
        <v>488</v>
      </c>
      <c r="C302" s="25"/>
      <c r="D302" s="94"/>
    </row>
    <row r="303" spans="1:4" ht="34.200000000000003" thickBot="1" x14ac:dyDescent="0.4">
      <c r="A303" s="127"/>
      <c r="B303" s="25" t="s">
        <v>233</v>
      </c>
      <c r="C303" s="24" t="s">
        <v>7</v>
      </c>
      <c r="D303" s="97" t="s">
        <v>1479</v>
      </c>
    </row>
    <row r="304" spans="1:4" ht="18.600000000000001" thickBot="1" x14ac:dyDescent="0.4">
      <c r="A304" s="127"/>
      <c r="B304" s="25" t="s">
        <v>234</v>
      </c>
      <c r="C304" s="24" t="s">
        <v>7</v>
      </c>
      <c r="D304" s="99" t="s">
        <v>1480</v>
      </c>
    </row>
    <row r="305" spans="1:4" ht="18.600000000000001" thickBot="1" x14ac:dyDescent="0.4">
      <c r="A305" s="127"/>
      <c r="B305" s="25" t="s">
        <v>244</v>
      </c>
      <c r="C305" s="24" t="s">
        <v>489</v>
      </c>
      <c r="D305" s="99" t="s">
        <v>28</v>
      </c>
    </row>
    <row r="306" spans="1:4" ht="18" thickBot="1" x14ac:dyDescent="0.4">
      <c r="A306" s="62" t="s">
        <v>209</v>
      </c>
      <c r="B306" s="7" t="s">
        <v>62</v>
      </c>
      <c r="C306" s="25"/>
      <c r="D306" s="94"/>
    </row>
    <row r="307" spans="1:4" ht="34.200000000000003" thickBot="1" x14ac:dyDescent="0.4">
      <c r="A307" s="127"/>
      <c r="B307" s="25" t="s">
        <v>233</v>
      </c>
      <c r="C307" s="24" t="s">
        <v>7</v>
      </c>
      <c r="D307" s="97" t="s">
        <v>1481</v>
      </c>
    </row>
    <row r="308" spans="1:4" ht="18.600000000000001" thickBot="1" x14ac:dyDescent="0.4">
      <c r="A308" s="127"/>
      <c r="B308" s="25" t="s">
        <v>234</v>
      </c>
      <c r="C308" s="24" t="s">
        <v>7</v>
      </c>
      <c r="D308" s="99" t="s">
        <v>1482</v>
      </c>
    </row>
    <row r="309" spans="1:4" x14ac:dyDescent="0.35">
      <c r="A309" s="62" t="s">
        <v>210</v>
      </c>
      <c r="B309" s="7" t="s">
        <v>63</v>
      </c>
      <c r="C309" s="25"/>
      <c r="D309" s="94"/>
    </row>
    <row r="310" spans="1:4" ht="33.6" x14ac:dyDescent="0.35">
      <c r="A310" s="127"/>
      <c r="B310" s="25" t="s">
        <v>233</v>
      </c>
      <c r="C310" s="24" t="s">
        <v>7</v>
      </c>
      <c r="D310" s="94" t="s">
        <v>1569</v>
      </c>
    </row>
    <row r="311" spans="1:4" x14ac:dyDescent="0.35">
      <c r="A311" s="127"/>
      <c r="B311" s="25" t="s">
        <v>234</v>
      </c>
      <c r="C311" s="24" t="s">
        <v>7</v>
      </c>
      <c r="D311" s="94" t="s">
        <v>1483</v>
      </c>
    </row>
    <row r="312" spans="1:4" ht="67.2" x14ac:dyDescent="0.35">
      <c r="A312" s="25"/>
      <c r="B312" s="25" t="s">
        <v>607</v>
      </c>
      <c r="C312" s="24" t="s">
        <v>324</v>
      </c>
      <c r="D312" s="94" t="s">
        <v>28</v>
      </c>
    </row>
    <row r="313" spans="1:4" ht="33.6" x14ac:dyDescent="0.35">
      <c r="A313" s="133" t="s">
        <v>211</v>
      </c>
      <c r="B313" s="7" t="s">
        <v>490</v>
      </c>
      <c r="C313" s="7"/>
      <c r="D313" s="94"/>
    </row>
    <row r="314" spans="1:4" ht="67.2" x14ac:dyDescent="0.35">
      <c r="A314" s="133"/>
      <c r="B314" s="33" t="s">
        <v>608</v>
      </c>
      <c r="C314" s="129" t="s">
        <v>491</v>
      </c>
      <c r="D314" s="94" t="s">
        <v>28</v>
      </c>
    </row>
    <row r="315" spans="1:4" x14ac:dyDescent="0.35">
      <c r="A315" s="133"/>
      <c r="B315" s="25" t="s">
        <v>492</v>
      </c>
      <c r="C315" s="129"/>
      <c r="D315" s="94" t="s">
        <v>28</v>
      </c>
    </row>
    <row r="316" spans="1:4" ht="33.6" x14ac:dyDescent="0.35">
      <c r="A316" s="133"/>
      <c r="B316" s="33" t="s">
        <v>609</v>
      </c>
      <c r="C316" s="129"/>
      <c r="D316" s="94" t="s">
        <v>28</v>
      </c>
    </row>
    <row r="317" spans="1:4" ht="33.6" x14ac:dyDescent="0.35">
      <c r="A317" s="133"/>
      <c r="B317" s="33" t="s">
        <v>610</v>
      </c>
      <c r="C317" s="129"/>
      <c r="D317" s="94" t="s">
        <v>28</v>
      </c>
    </row>
    <row r="318" spans="1:4" ht="33.6" x14ac:dyDescent="0.35">
      <c r="A318" s="133"/>
      <c r="B318" s="33" t="s">
        <v>611</v>
      </c>
      <c r="C318" s="129"/>
      <c r="D318" s="94" t="s">
        <v>28</v>
      </c>
    </row>
    <row r="319" spans="1:4" ht="67.2" x14ac:dyDescent="0.35">
      <c r="A319" s="133"/>
      <c r="B319" s="33" t="s">
        <v>612</v>
      </c>
      <c r="C319" s="129"/>
      <c r="D319" s="94" t="s">
        <v>28</v>
      </c>
    </row>
  </sheetData>
  <mergeCells count="37">
    <mergeCell ref="C314:C319"/>
    <mergeCell ref="A307:A308"/>
    <mergeCell ref="A310:A311"/>
    <mergeCell ref="A313:A319"/>
    <mergeCell ref="A288:A296"/>
    <mergeCell ref="A298:A300"/>
    <mergeCell ref="A303:A305"/>
    <mergeCell ref="B287:B291"/>
    <mergeCell ref="A262:A278"/>
    <mergeCell ref="B266:B267"/>
    <mergeCell ref="B269:B271"/>
    <mergeCell ref="B272:B274"/>
    <mergeCell ref="A279:A287"/>
    <mergeCell ref="B283:B286"/>
    <mergeCell ref="B277:B279"/>
    <mergeCell ref="A233:A249"/>
    <mergeCell ref="A251:A260"/>
    <mergeCell ref="A216:A231"/>
    <mergeCell ref="C224:C228"/>
    <mergeCell ref="B229:B231"/>
    <mergeCell ref="C187:C188"/>
    <mergeCell ref="A191:A201"/>
    <mergeCell ref="A203:A215"/>
    <mergeCell ref="B207:B208"/>
    <mergeCell ref="A153:A159"/>
    <mergeCell ref="B153:B159"/>
    <mergeCell ref="A160:A167"/>
    <mergeCell ref="B160:B167"/>
    <mergeCell ref="A170:A188"/>
    <mergeCell ref="A39:A40"/>
    <mergeCell ref="C39:C40"/>
    <mergeCell ref="A144:A145"/>
    <mergeCell ref="B143:B145"/>
    <mergeCell ref="C129:C135"/>
    <mergeCell ref="A129:A135"/>
    <mergeCell ref="A64:A66"/>
    <mergeCell ref="B64:B66"/>
  </mergeCells>
  <pageMargins left="0.70866141732283472" right="0.11811023622047245" top="0.55118110236220474" bottom="0.55118110236220474"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7"/>
  <sheetViews>
    <sheetView view="pageBreakPreview" topLeftCell="A108" zoomScaleNormal="100" zoomScaleSheetLayoutView="100" workbookViewId="0">
      <selection activeCell="D101" sqref="D101"/>
    </sheetView>
  </sheetViews>
  <sheetFormatPr defaultColWidth="9.109375" defaultRowHeight="17.399999999999999" x14ac:dyDescent="0.35"/>
  <cols>
    <col min="1" max="1" width="6.21875" style="5" customWidth="1"/>
    <col min="2" max="2" width="35.77734375" style="5" customWidth="1"/>
    <col min="3" max="3" width="34.77734375" style="5" customWidth="1"/>
    <col min="4" max="4" width="24.33203125" style="9" customWidth="1"/>
    <col min="5" max="16384" width="9.109375" style="5"/>
  </cols>
  <sheetData>
    <row r="1" spans="1:4" s="3" customFormat="1" ht="16.8" x14ac:dyDescent="0.3">
      <c r="A1" s="8" t="s">
        <v>15</v>
      </c>
      <c r="B1" s="3" t="s">
        <v>706</v>
      </c>
      <c r="D1" s="63"/>
    </row>
    <row r="2" spans="1:4" x14ac:dyDescent="0.35">
      <c r="A2" s="138" t="s">
        <v>0</v>
      </c>
      <c r="B2" s="138" t="s">
        <v>659</v>
      </c>
      <c r="C2" s="138"/>
      <c r="D2" s="138" t="s">
        <v>3</v>
      </c>
    </row>
    <row r="3" spans="1:4" x14ac:dyDescent="0.35">
      <c r="A3" s="138"/>
      <c r="B3" s="26" t="s">
        <v>12</v>
      </c>
      <c r="C3" s="26" t="s">
        <v>225</v>
      </c>
      <c r="D3" s="138"/>
    </row>
    <row r="4" spans="1:4" x14ac:dyDescent="0.35">
      <c r="A4" s="26" t="s">
        <v>79</v>
      </c>
      <c r="B4" s="141" t="s">
        <v>660</v>
      </c>
      <c r="C4" s="142"/>
      <c r="D4" s="26"/>
    </row>
    <row r="5" spans="1:4" x14ac:dyDescent="0.35">
      <c r="A5" s="26" t="s">
        <v>4</v>
      </c>
      <c r="B5" s="75" t="s">
        <v>363</v>
      </c>
      <c r="C5" s="24"/>
      <c r="D5" s="64"/>
    </row>
    <row r="6" spans="1:4" x14ac:dyDescent="0.35">
      <c r="A6" s="24">
        <v>1</v>
      </c>
      <c r="B6" s="27" t="s">
        <v>661</v>
      </c>
      <c r="C6" s="24" t="s">
        <v>662</v>
      </c>
      <c r="D6" s="64" t="s">
        <v>1497</v>
      </c>
    </row>
    <row r="7" spans="1:4" x14ac:dyDescent="0.35">
      <c r="A7" s="24">
        <v>2</v>
      </c>
      <c r="B7" s="27" t="s">
        <v>32</v>
      </c>
      <c r="C7" s="24" t="s">
        <v>662</v>
      </c>
      <c r="D7" s="64" t="s">
        <v>1498</v>
      </c>
    </row>
    <row r="8" spans="1:4" x14ac:dyDescent="0.35">
      <c r="A8" s="24">
        <v>3</v>
      </c>
      <c r="B8" s="27" t="s">
        <v>33</v>
      </c>
      <c r="C8" s="24" t="s">
        <v>662</v>
      </c>
      <c r="D8" s="64" t="s">
        <v>1499</v>
      </c>
    </row>
    <row r="9" spans="1:4" x14ac:dyDescent="0.35">
      <c r="A9" s="24">
        <v>4</v>
      </c>
      <c r="B9" s="27" t="s">
        <v>663</v>
      </c>
      <c r="C9" s="24" t="s">
        <v>664</v>
      </c>
      <c r="D9" s="64" t="s">
        <v>28</v>
      </c>
    </row>
    <row r="10" spans="1:4" x14ac:dyDescent="0.35">
      <c r="A10" s="24">
        <v>5</v>
      </c>
      <c r="B10" s="27" t="s">
        <v>665</v>
      </c>
      <c r="C10" s="24" t="s">
        <v>666</v>
      </c>
      <c r="D10" s="64" t="s">
        <v>28</v>
      </c>
    </row>
    <row r="11" spans="1:4" ht="33.6" x14ac:dyDescent="0.35">
      <c r="A11" s="24">
        <v>6</v>
      </c>
      <c r="B11" s="27" t="s">
        <v>667</v>
      </c>
      <c r="C11" s="24" t="s">
        <v>39</v>
      </c>
      <c r="D11" s="64" t="s">
        <v>28</v>
      </c>
    </row>
    <row r="12" spans="1:4" x14ac:dyDescent="0.35">
      <c r="A12" s="24">
        <v>7</v>
      </c>
      <c r="B12" s="27" t="s">
        <v>668</v>
      </c>
      <c r="C12" s="24" t="s">
        <v>669</v>
      </c>
      <c r="D12" s="64" t="s">
        <v>28</v>
      </c>
    </row>
    <row r="13" spans="1:4" ht="33.6" x14ac:dyDescent="0.35">
      <c r="A13" s="24">
        <v>8</v>
      </c>
      <c r="B13" s="27" t="s">
        <v>34</v>
      </c>
      <c r="C13" s="24" t="s">
        <v>41</v>
      </c>
      <c r="D13" s="64" t="s">
        <v>28</v>
      </c>
    </row>
    <row r="14" spans="1:4" x14ac:dyDescent="0.35">
      <c r="A14" s="24">
        <v>9</v>
      </c>
      <c r="B14" s="27" t="s">
        <v>670</v>
      </c>
      <c r="C14" s="24" t="s">
        <v>671</v>
      </c>
      <c r="D14" s="64" t="s">
        <v>28</v>
      </c>
    </row>
    <row r="15" spans="1:4" ht="33.6" x14ac:dyDescent="0.35">
      <c r="A15" s="24">
        <v>10</v>
      </c>
      <c r="B15" s="27" t="s">
        <v>672</v>
      </c>
      <c r="C15" s="65" t="s">
        <v>707</v>
      </c>
      <c r="D15" s="64" t="s">
        <v>28</v>
      </c>
    </row>
    <row r="16" spans="1:4" x14ac:dyDescent="0.35">
      <c r="A16" s="24">
        <v>11</v>
      </c>
      <c r="B16" s="27" t="s">
        <v>674</v>
      </c>
      <c r="C16" s="24">
        <v>2025</v>
      </c>
      <c r="D16" s="64" t="s">
        <v>28</v>
      </c>
    </row>
    <row r="17" spans="1:4" ht="33.6" x14ac:dyDescent="0.35">
      <c r="A17" s="24">
        <v>12</v>
      </c>
      <c r="B17" s="27" t="s">
        <v>675</v>
      </c>
      <c r="C17" s="24" t="s">
        <v>28</v>
      </c>
      <c r="D17" s="64" t="s">
        <v>28</v>
      </c>
    </row>
    <row r="18" spans="1:4" x14ac:dyDescent="0.35">
      <c r="A18" s="26" t="s">
        <v>6</v>
      </c>
      <c r="B18" s="130" t="s">
        <v>676</v>
      </c>
      <c r="C18" s="130"/>
      <c r="D18" s="64"/>
    </row>
    <row r="19" spans="1:4" x14ac:dyDescent="0.35">
      <c r="A19" s="24">
        <v>1</v>
      </c>
      <c r="B19" s="27" t="s">
        <v>677</v>
      </c>
      <c r="C19" s="24" t="s">
        <v>678</v>
      </c>
      <c r="D19" s="64" t="s">
        <v>28</v>
      </c>
    </row>
    <row r="20" spans="1:4" x14ac:dyDescent="0.35">
      <c r="A20" s="24">
        <v>2</v>
      </c>
      <c r="B20" s="27" t="s">
        <v>679</v>
      </c>
      <c r="C20" s="24" t="s">
        <v>680</v>
      </c>
      <c r="D20" s="64" t="s">
        <v>28</v>
      </c>
    </row>
    <row r="21" spans="1:4" ht="33.6" x14ac:dyDescent="0.35">
      <c r="A21" s="24">
        <v>3</v>
      </c>
      <c r="B21" s="27" t="s">
        <v>681</v>
      </c>
      <c r="C21" s="24" t="s">
        <v>847</v>
      </c>
      <c r="D21" s="64" t="s">
        <v>28</v>
      </c>
    </row>
    <row r="22" spans="1:4" x14ac:dyDescent="0.35">
      <c r="A22" s="24">
        <v>4</v>
      </c>
      <c r="B22" s="27" t="s">
        <v>682</v>
      </c>
      <c r="C22" s="24" t="s">
        <v>683</v>
      </c>
      <c r="D22" s="64" t="s">
        <v>28</v>
      </c>
    </row>
    <row r="23" spans="1:4" x14ac:dyDescent="0.35">
      <c r="A23" s="24">
        <v>5</v>
      </c>
      <c r="B23" s="27" t="s">
        <v>684</v>
      </c>
      <c r="C23" s="24" t="s">
        <v>685</v>
      </c>
      <c r="D23" s="64" t="s">
        <v>28</v>
      </c>
    </row>
    <row r="24" spans="1:4" x14ac:dyDescent="0.35">
      <c r="A24" s="24">
        <v>6</v>
      </c>
      <c r="B24" s="27" t="s">
        <v>686</v>
      </c>
      <c r="C24" s="24" t="s">
        <v>687</v>
      </c>
      <c r="D24" s="64" t="s">
        <v>28</v>
      </c>
    </row>
    <row r="25" spans="1:4" x14ac:dyDescent="0.35">
      <c r="A25" s="24">
        <v>7</v>
      </c>
      <c r="B25" s="27" t="s">
        <v>688</v>
      </c>
      <c r="C25" s="24" t="s">
        <v>689</v>
      </c>
      <c r="D25" s="64" t="s">
        <v>28</v>
      </c>
    </row>
    <row r="26" spans="1:4" ht="50.4" x14ac:dyDescent="0.35">
      <c r="A26" s="24">
        <v>8</v>
      </c>
      <c r="B26" s="27" t="s">
        <v>690</v>
      </c>
      <c r="C26" s="24" t="s">
        <v>691</v>
      </c>
      <c r="D26" s="64" t="s">
        <v>28</v>
      </c>
    </row>
    <row r="27" spans="1:4" x14ac:dyDescent="0.35">
      <c r="A27" s="24">
        <v>9</v>
      </c>
      <c r="B27" s="27" t="s">
        <v>692</v>
      </c>
      <c r="C27" s="24" t="s">
        <v>693</v>
      </c>
      <c r="D27" s="64" t="s">
        <v>28</v>
      </c>
    </row>
    <row r="28" spans="1:4" x14ac:dyDescent="0.35">
      <c r="A28" s="24">
        <v>10</v>
      </c>
      <c r="B28" s="27" t="s">
        <v>65</v>
      </c>
      <c r="C28" s="24" t="s">
        <v>694</v>
      </c>
      <c r="D28" s="64" t="s">
        <v>28</v>
      </c>
    </row>
    <row r="29" spans="1:4" x14ac:dyDescent="0.35">
      <c r="A29" s="24">
        <v>11</v>
      </c>
      <c r="B29" s="27" t="s">
        <v>695</v>
      </c>
      <c r="C29" s="24" t="s">
        <v>696</v>
      </c>
      <c r="D29" s="64" t="s">
        <v>28</v>
      </c>
    </row>
    <row r="30" spans="1:4" x14ac:dyDescent="0.35">
      <c r="A30" s="129">
        <v>12</v>
      </c>
      <c r="B30" s="128" t="s">
        <v>697</v>
      </c>
      <c r="C30" s="24" t="s">
        <v>698</v>
      </c>
      <c r="D30" s="64" t="s">
        <v>28</v>
      </c>
    </row>
    <row r="31" spans="1:4" x14ac:dyDescent="0.35">
      <c r="A31" s="129"/>
      <c r="B31" s="128"/>
      <c r="C31" s="24" t="s">
        <v>699</v>
      </c>
      <c r="D31" s="64" t="s">
        <v>28</v>
      </c>
    </row>
    <row r="32" spans="1:4" x14ac:dyDescent="0.35">
      <c r="A32" s="129">
        <v>13</v>
      </c>
      <c r="B32" s="128" t="s">
        <v>700</v>
      </c>
      <c r="C32" s="24" t="s">
        <v>701</v>
      </c>
      <c r="D32" s="64" t="s">
        <v>28</v>
      </c>
    </row>
    <row r="33" spans="1:4" x14ac:dyDescent="0.35">
      <c r="A33" s="129"/>
      <c r="B33" s="128"/>
      <c r="C33" s="24" t="s">
        <v>702</v>
      </c>
      <c r="D33" s="64" t="s">
        <v>28</v>
      </c>
    </row>
    <row r="34" spans="1:4" ht="33.6" x14ac:dyDescent="0.35">
      <c r="A34" s="24">
        <v>14</v>
      </c>
      <c r="B34" s="27" t="s">
        <v>709</v>
      </c>
      <c r="C34" s="24" t="s">
        <v>703</v>
      </c>
      <c r="D34" s="64" t="s">
        <v>28</v>
      </c>
    </row>
    <row r="35" spans="1:4" ht="50.4" x14ac:dyDescent="0.35">
      <c r="A35" s="24">
        <v>15</v>
      </c>
      <c r="B35" s="27" t="s">
        <v>704</v>
      </c>
      <c r="C35" s="24" t="s">
        <v>705</v>
      </c>
      <c r="D35" s="64" t="s">
        <v>28</v>
      </c>
    </row>
    <row r="36" spans="1:4" x14ac:dyDescent="0.35">
      <c r="A36" s="49" t="s">
        <v>80</v>
      </c>
      <c r="B36" s="139" t="s">
        <v>710</v>
      </c>
      <c r="C36" s="140"/>
      <c r="D36" s="49"/>
    </row>
    <row r="37" spans="1:4" x14ac:dyDescent="0.35">
      <c r="A37" s="26" t="s">
        <v>4</v>
      </c>
      <c r="B37" s="130" t="s">
        <v>363</v>
      </c>
      <c r="C37" s="130"/>
      <c r="D37" s="64"/>
    </row>
    <row r="38" spans="1:4" x14ac:dyDescent="0.35">
      <c r="A38" s="24">
        <v>1</v>
      </c>
      <c r="B38" s="27" t="s">
        <v>661</v>
      </c>
      <c r="C38" s="24" t="s">
        <v>662</v>
      </c>
      <c r="D38" s="64" t="s">
        <v>1497</v>
      </c>
    </row>
    <row r="39" spans="1:4" x14ac:dyDescent="0.35">
      <c r="A39" s="24">
        <v>2</v>
      </c>
      <c r="B39" s="27" t="s">
        <v>32</v>
      </c>
      <c r="C39" s="24" t="s">
        <v>662</v>
      </c>
      <c r="D39" s="64" t="s">
        <v>1498</v>
      </c>
    </row>
    <row r="40" spans="1:4" x14ac:dyDescent="0.35">
      <c r="A40" s="24">
        <v>3</v>
      </c>
      <c r="B40" s="27" t="s">
        <v>33</v>
      </c>
      <c r="C40" s="24" t="s">
        <v>662</v>
      </c>
      <c r="D40" s="64" t="s">
        <v>1499</v>
      </c>
    </row>
    <row r="41" spans="1:4" x14ac:dyDescent="0.35">
      <c r="A41" s="24">
        <v>4</v>
      </c>
      <c r="B41" s="27" t="s">
        <v>663</v>
      </c>
      <c r="C41" s="24" t="s">
        <v>664</v>
      </c>
      <c r="D41" s="64" t="s">
        <v>28</v>
      </c>
    </row>
    <row r="42" spans="1:4" x14ac:dyDescent="0.35">
      <c r="A42" s="24">
        <v>5</v>
      </c>
      <c r="B42" s="27" t="s">
        <v>665</v>
      </c>
      <c r="C42" s="24" t="s">
        <v>666</v>
      </c>
      <c r="D42" s="64" t="s">
        <v>28</v>
      </c>
    </row>
    <row r="43" spans="1:4" ht="33.6" x14ac:dyDescent="0.35">
      <c r="A43" s="24">
        <v>6</v>
      </c>
      <c r="B43" s="27" t="s">
        <v>667</v>
      </c>
      <c r="C43" s="24" t="s">
        <v>39</v>
      </c>
      <c r="D43" s="64" t="s">
        <v>28</v>
      </c>
    </row>
    <row r="44" spans="1:4" x14ac:dyDescent="0.35">
      <c r="A44" s="24">
        <v>7</v>
      </c>
      <c r="B44" s="27" t="s">
        <v>668</v>
      </c>
      <c r="C44" s="24" t="s">
        <v>669</v>
      </c>
      <c r="D44" s="64" t="s">
        <v>28</v>
      </c>
    </row>
    <row r="45" spans="1:4" ht="33.6" x14ac:dyDescent="0.35">
      <c r="A45" s="24">
        <v>8</v>
      </c>
      <c r="B45" s="27" t="s">
        <v>34</v>
      </c>
      <c r="C45" s="24" t="s">
        <v>41</v>
      </c>
      <c r="D45" s="64" t="s">
        <v>28</v>
      </c>
    </row>
    <row r="46" spans="1:4" x14ac:dyDescent="0.35">
      <c r="A46" s="24">
        <v>9</v>
      </c>
      <c r="B46" s="27" t="s">
        <v>670</v>
      </c>
      <c r="C46" s="24" t="s">
        <v>671</v>
      </c>
      <c r="D46" s="64" t="s">
        <v>28</v>
      </c>
    </row>
    <row r="47" spans="1:4" ht="33.6" x14ac:dyDescent="0.35">
      <c r="A47" s="24">
        <v>10</v>
      </c>
      <c r="B47" s="27" t="s">
        <v>672</v>
      </c>
      <c r="C47" s="65" t="s">
        <v>707</v>
      </c>
      <c r="D47" s="64" t="s">
        <v>28</v>
      </c>
    </row>
    <row r="48" spans="1:4" x14ac:dyDescent="0.35">
      <c r="A48" s="24">
        <v>12</v>
      </c>
      <c r="B48" s="27" t="s">
        <v>674</v>
      </c>
      <c r="C48" s="24">
        <v>2025</v>
      </c>
      <c r="D48" s="64" t="s">
        <v>28</v>
      </c>
    </row>
    <row r="49" spans="1:4" ht="33.6" x14ac:dyDescent="0.35">
      <c r="A49" s="24">
        <v>13</v>
      </c>
      <c r="B49" s="27" t="s">
        <v>675</v>
      </c>
      <c r="C49" s="24" t="s">
        <v>28</v>
      </c>
      <c r="D49" s="64" t="s">
        <v>28</v>
      </c>
    </row>
    <row r="50" spans="1:4" x14ac:dyDescent="0.35">
      <c r="A50" s="26" t="s">
        <v>6</v>
      </c>
      <c r="B50" s="130" t="s">
        <v>676</v>
      </c>
      <c r="C50" s="130"/>
      <c r="D50" s="64"/>
    </row>
    <row r="51" spans="1:4" x14ac:dyDescent="0.35">
      <c r="A51" s="24">
        <v>1</v>
      </c>
      <c r="B51" s="27" t="s">
        <v>677</v>
      </c>
      <c r="C51" s="24" t="s">
        <v>678</v>
      </c>
      <c r="D51" s="64" t="s">
        <v>28</v>
      </c>
    </row>
    <row r="52" spans="1:4" x14ac:dyDescent="0.35">
      <c r="A52" s="24">
        <v>2</v>
      </c>
      <c r="B52" s="27" t="s">
        <v>679</v>
      </c>
      <c r="C52" s="24" t="s">
        <v>711</v>
      </c>
      <c r="D52" s="64" t="s">
        <v>28</v>
      </c>
    </row>
    <row r="53" spans="1:4" ht="33.6" x14ac:dyDescent="0.35">
      <c r="A53" s="24">
        <v>3</v>
      </c>
      <c r="B53" s="27" t="s">
        <v>681</v>
      </c>
      <c r="C53" s="24" t="s">
        <v>847</v>
      </c>
      <c r="D53" s="64" t="s">
        <v>28</v>
      </c>
    </row>
    <row r="54" spans="1:4" ht="50.4" x14ac:dyDescent="0.35">
      <c r="A54" s="24">
        <v>4</v>
      </c>
      <c r="B54" s="27" t="s">
        <v>712</v>
      </c>
      <c r="C54" s="24" t="s">
        <v>713</v>
      </c>
      <c r="D54" s="64" t="s">
        <v>28</v>
      </c>
    </row>
    <row r="55" spans="1:4" x14ac:dyDescent="0.35">
      <c r="A55" s="24">
        <v>5</v>
      </c>
      <c r="B55" s="27" t="s">
        <v>682</v>
      </c>
      <c r="C55" s="24" t="s">
        <v>683</v>
      </c>
      <c r="D55" s="64" t="s">
        <v>28</v>
      </c>
    </row>
    <row r="56" spans="1:4" x14ac:dyDescent="0.35">
      <c r="A56" s="24">
        <v>6</v>
      </c>
      <c r="B56" s="27" t="s">
        <v>684</v>
      </c>
      <c r="C56" s="24" t="s">
        <v>685</v>
      </c>
      <c r="D56" s="64" t="s">
        <v>28</v>
      </c>
    </row>
    <row r="57" spans="1:4" x14ac:dyDescent="0.35">
      <c r="A57" s="24">
        <v>7</v>
      </c>
      <c r="B57" s="27" t="s">
        <v>714</v>
      </c>
      <c r="C57" s="24" t="s">
        <v>687</v>
      </c>
      <c r="D57" s="64" t="s">
        <v>28</v>
      </c>
    </row>
    <row r="58" spans="1:4" x14ac:dyDescent="0.35">
      <c r="A58" s="24">
        <v>8</v>
      </c>
      <c r="B58" s="27" t="s">
        <v>688</v>
      </c>
      <c r="C58" s="24" t="s">
        <v>689</v>
      </c>
      <c r="D58" s="64" t="s">
        <v>28</v>
      </c>
    </row>
    <row r="59" spans="1:4" ht="50.4" x14ac:dyDescent="0.35">
      <c r="A59" s="24">
        <v>9</v>
      </c>
      <c r="B59" s="27" t="s">
        <v>690</v>
      </c>
      <c r="C59" s="24" t="s">
        <v>715</v>
      </c>
      <c r="D59" s="64" t="s">
        <v>28</v>
      </c>
    </row>
    <row r="60" spans="1:4" x14ac:dyDescent="0.35">
      <c r="A60" s="24">
        <v>10</v>
      </c>
      <c r="B60" s="27" t="s">
        <v>692</v>
      </c>
      <c r="C60" s="24" t="s">
        <v>693</v>
      </c>
      <c r="D60" s="64" t="s">
        <v>28</v>
      </c>
    </row>
    <row r="61" spans="1:4" x14ac:dyDescent="0.35">
      <c r="A61" s="24">
        <v>11</v>
      </c>
      <c r="B61" s="27" t="s">
        <v>716</v>
      </c>
      <c r="C61" s="24" t="s">
        <v>694</v>
      </c>
      <c r="D61" s="64" t="s">
        <v>28</v>
      </c>
    </row>
    <row r="62" spans="1:4" x14ac:dyDescent="0.35">
      <c r="A62" s="24">
        <v>12</v>
      </c>
      <c r="B62" s="27" t="s">
        <v>717</v>
      </c>
      <c r="C62" s="24" t="s">
        <v>696</v>
      </c>
      <c r="D62" s="64" t="s">
        <v>28</v>
      </c>
    </row>
    <row r="63" spans="1:4" x14ac:dyDescent="0.35">
      <c r="A63" s="129">
        <v>13</v>
      </c>
      <c r="B63" s="128" t="s">
        <v>697</v>
      </c>
      <c r="C63" s="24" t="s">
        <v>698</v>
      </c>
      <c r="D63" s="64" t="s">
        <v>28</v>
      </c>
    </row>
    <row r="64" spans="1:4" x14ac:dyDescent="0.35">
      <c r="A64" s="129"/>
      <c r="B64" s="128"/>
      <c r="C64" s="24" t="s">
        <v>699</v>
      </c>
      <c r="D64" s="64" t="s">
        <v>28</v>
      </c>
    </row>
    <row r="65" spans="1:4" x14ac:dyDescent="0.35">
      <c r="A65" s="134">
        <v>14</v>
      </c>
      <c r="B65" s="136" t="s">
        <v>700</v>
      </c>
      <c r="C65" s="24" t="s">
        <v>701</v>
      </c>
      <c r="D65" s="64" t="s">
        <v>28</v>
      </c>
    </row>
    <row r="66" spans="1:4" x14ac:dyDescent="0.35">
      <c r="A66" s="135"/>
      <c r="B66" s="137"/>
      <c r="C66" s="24" t="s">
        <v>702</v>
      </c>
      <c r="D66" s="64" t="s">
        <v>28</v>
      </c>
    </row>
    <row r="67" spans="1:4" x14ac:dyDescent="0.35">
      <c r="A67" s="24">
        <v>15</v>
      </c>
      <c r="B67" s="27" t="s">
        <v>718</v>
      </c>
      <c r="C67" s="24" t="s">
        <v>703</v>
      </c>
      <c r="D67" s="64" t="s">
        <v>28</v>
      </c>
    </row>
    <row r="68" spans="1:4" ht="50.4" x14ac:dyDescent="0.35">
      <c r="A68" s="24">
        <v>16</v>
      </c>
      <c r="B68" s="27" t="s">
        <v>704</v>
      </c>
      <c r="C68" s="24" t="s">
        <v>705</v>
      </c>
      <c r="D68" s="64" t="s">
        <v>28</v>
      </c>
    </row>
    <row r="69" spans="1:4" x14ac:dyDescent="0.35">
      <c r="A69" s="26" t="s">
        <v>212</v>
      </c>
      <c r="B69" s="138" t="s">
        <v>719</v>
      </c>
      <c r="C69" s="138"/>
      <c r="D69" s="26"/>
    </row>
    <row r="70" spans="1:4" x14ac:dyDescent="0.35">
      <c r="A70" s="26" t="s">
        <v>4</v>
      </c>
      <c r="B70" s="130" t="s">
        <v>363</v>
      </c>
      <c r="C70" s="130"/>
      <c r="D70" s="64"/>
    </row>
    <row r="71" spans="1:4" x14ac:dyDescent="0.35">
      <c r="A71" s="24">
        <v>1</v>
      </c>
      <c r="B71" s="27" t="s">
        <v>661</v>
      </c>
      <c r="C71" s="24" t="s">
        <v>662</v>
      </c>
      <c r="D71" s="64" t="s">
        <v>1566</v>
      </c>
    </row>
    <row r="72" spans="1:4" x14ac:dyDescent="0.35">
      <c r="A72" s="24">
        <v>2</v>
      </c>
      <c r="B72" s="27" t="s">
        <v>32</v>
      </c>
      <c r="C72" s="24" t="s">
        <v>662</v>
      </c>
      <c r="D72" s="64" t="s">
        <v>1498</v>
      </c>
    </row>
    <row r="73" spans="1:4" x14ac:dyDescent="0.35">
      <c r="A73" s="24">
        <v>3</v>
      </c>
      <c r="B73" s="27" t="s">
        <v>33</v>
      </c>
      <c r="C73" s="24" t="s">
        <v>662</v>
      </c>
      <c r="D73" s="64" t="s">
        <v>1499</v>
      </c>
    </row>
    <row r="74" spans="1:4" x14ac:dyDescent="0.35">
      <c r="A74" s="24">
        <v>4</v>
      </c>
      <c r="B74" s="27" t="s">
        <v>663</v>
      </c>
      <c r="C74" s="24" t="s">
        <v>664</v>
      </c>
      <c r="D74" s="64" t="s">
        <v>28</v>
      </c>
    </row>
    <row r="75" spans="1:4" x14ac:dyDescent="0.35">
      <c r="A75" s="24">
        <v>5</v>
      </c>
      <c r="B75" s="27" t="s">
        <v>665</v>
      </c>
      <c r="C75" s="24" t="s">
        <v>666</v>
      </c>
      <c r="D75" s="64" t="s">
        <v>28</v>
      </c>
    </row>
    <row r="76" spans="1:4" ht="33.6" x14ac:dyDescent="0.35">
      <c r="A76" s="24">
        <v>6</v>
      </c>
      <c r="B76" s="27" t="s">
        <v>667</v>
      </c>
      <c r="C76" s="24" t="s">
        <v>39</v>
      </c>
      <c r="D76" s="64" t="s">
        <v>28</v>
      </c>
    </row>
    <row r="77" spans="1:4" x14ac:dyDescent="0.35">
      <c r="A77" s="24">
        <v>7</v>
      </c>
      <c r="B77" s="27" t="s">
        <v>668</v>
      </c>
      <c r="C77" s="24" t="s">
        <v>669</v>
      </c>
      <c r="D77" s="64" t="s">
        <v>28</v>
      </c>
    </row>
    <row r="78" spans="1:4" ht="33.6" x14ac:dyDescent="0.35">
      <c r="A78" s="24">
        <v>8</v>
      </c>
      <c r="B78" s="27" t="s">
        <v>34</v>
      </c>
      <c r="C78" s="24" t="s">
        <v>41</v>
      </c>
      <c r="D78" s="64" t="s">
        <v>28</v>
      </c>
    </row>
    <row r="79" spans="1:4" x14ac:dyDescent="0.35">
      <c r="A79" s="24">
        <v>9</v>
      </c>
      <c r="B79" s="27" t="s">
        <v>670</v>
      </c>
      <c r="C79" s="24" t="s">
        <v>671</v>
      </c>
      <c r="D79" s="64" t="s">
        <v>28</v>
      </c>
    </row>
    <row r="80" spans="1:4" ht="33.6" x14ac:dyDescent="0.35">
      <c r="A80" s="24">
        <v>10</v>
      </c>
      <c r="B80" s="27" t="s">
        <v>672</v>
      </c>
      <c r="C80" s="24" t="s">
        <v>673</v>
      </c>
      <c r="D80" s="64" t="s">
        <v>28</v>
      </c>
    </row>
    <row r="81" spans="1:4" x14ac:dyDescent="0.35">
      <c r="A81" s="24">
        <v>11</v>
      </c>
      <c r="B81" s="27" t="s">
        <v>674</v>
      </c>
      <c r="C81" s="24">
        <v>2025</v>
      </c>
      <c r="D81" s="64" t="s">
        <v>28</v>
      </c>
    </row>
    <row r="82" spans="1:4" ht="33.6" x14ac:dyDescent="0.35">
      <c r="A82" s="24">
        <v>12</v>
      </c>
      <c r="B82" s="27" t="s">
        <v>675</v>
      </c>
      <c r="C82" s="24" t="s">
        <v>28</v>
      </c>
      <c r="D82" s="64" t="s">
        <v>28</v>
      </c>
    </row>
    <row r="83" spans="1:4" x14ac:dyDescent="0.35">
      <c r="A83" s="26" t="s">
        <v>6</v>
      </c>
      <c r="B83" s="75" t="s">
        <v>676</v>
      </c>
      <c r="C83" s="24"/>
      <c r="D83" s="64" t="s">
        <v>28</v>
      </c>
    </row>
    <row r="84" spans="1:4" x14ac:dyDescent="0.35">
      <c r="A84" s="24">
        <v>1</v>
      </c>
      <c r="B84" s="27" t="s">
        <v>677</v>
      </c>
      <c r="C84" s="24" t="s">
        <v>678</v>
      </c>
      <c r="D84" s="64" t="s">
        <v>28</v>
      </c>
    </row>
    <row r="85" spans="1:4" x14ac:dyDescent="0.35">
      <c r="A85" s="24">
        <v>2</v>
      </c>
      <c r="B85" s="27" t="s">
        <v>679</v>
      </c>
      <c r="C85" s="24" t="s">
        <v>720</v>
      </c>
      <c r="D85" s="64" t="s">
        <v>28</v>
      </c>
    </row>
    <row r="86" spans="1:4" ht="33.6" x14ac:dyDescent="0.35">
      <c r="A86" s="24">
        <v>3</v>
      </c>
      <c r="B86" s="27" t="s">
        <v>681</v>
      </c>
      <c r="C86" s="24" t="s">
        <v>848</v>
      </c>
      <c r="D86" s="64" t="s">
        <v>28</v>
      </c>
    </row>
    <row r="87" spans="1:4" x14ac:dyDescent="0.35">
      <c r="A87" s="24">
        <v>4</v>
      </c>
      <c r="B87" s="27" t="s">
        <v>682</v>
      </c>
      <c r="C87" s="24" t="s">
        <v>683</v>
      </c>
      <c r="D87" s="64" t="s">
        <v>28</v>
      </c>
    </row>
    <row r="88" spans="1:4" x14ac:dyDescent="0.35">
      <c r="A88" s="24">
        <v>5</v>
      </c>
      <c r="B88" s="27" t="s">
        <v>684</v>
      </c>
      <c r="C88" s="24" t="s">
        <v>685</v>
      </c>
      <c r="D88" s="64" t="s">
        <v>28</v>
      </c>
    </row>
    <row r="89" spans="1:4" x14ac:dyDescent="0.35">
      <c r="A89" s="24">
        <v>6</v>
      </c>
      <c r="B89" s="27" t="s">
        <v>686</v>
      </c>
      <c r="C89" s="24" t="s">
        <v>687</v>
      </c>
      <c r="D89" s="64" t="s">
        <v>28</v>
      </c>
    </row>
    <row r="90" spans="1:4" x14ac:dyDescent="0.35">
      <c r="A90" s="24">
        <v>7</v>
      </c>
      <c r="B90" s="27" t="s">
        <v>688</v>
      </c>
      <c r="C90" s="24" t="s">
        <v>689</v>
      </c>
      <c r="D90" s="64" t="s">
        <v>28</v>
      </c>
    </row>
    <row r="91" spans="1:4" ht="50.4" x14ac:dyDescent="0.35">
      <c r="A91" s="24">
        <v>8</v>
      </c>
      <c r="B91" s="27" t="s">
        <v>690</v>
      </c>
      <c r="C91" s="24" t="s">
        <v>721</v>
      </c>
      <c r="D91" s="64" t="s">
        <v>28</v>
      </c>
    </row>
    <row r="92" spans="1:4" x14ac:dyDescent="0.35">
      <c r="A92" s="24">
        <v>9</v>
      </c>
      <c r="B92" s="27" t="s">
        <v>692</v>
      </c>
      <c r="C92" s="24" t="s">
        <v>693</v>
      </c>
      <c r="D92" s="64" t="s">
        <v>28</v>
      </c>
    </row>
    <row r="93" spans="1:4" x14ac:dyDescent="0.35">
      <c r="A93" s="24">
        <v>10</v>
      </c>
      <c r="B93" s="27" t="s">
        <v>65</v>
      </c>
      <c r="C93" s="24" t="s">
        <v>694</v>
      </c>
      <c r="D93" s="64" t="s">
        <v>28</v>
      </c>
    </row>
    <row r="94" spans="1:4" x14ac:dyDescent="0.35">
      <c r="A94" s="24">
        <v>11</v>
      </c>
      <c r="B94" s="27" t="s">
        <v>695</v>
      </c>
      <c r="C94" s="24" t="s">
        <v>696</v>
      </c>
      <c r="D94" s="64" t="s">
        <v>28</v>
      </c>
    </row>
    <row r="95" spans="1:4" x14ac:dyDescent="0.35">
      <c r="A95" s="129">
        <v>12</v>
      </c>
      <c r="B95" s="128" t="s">
        <v>697</v>
      </c>
      <c r="C95" s="24" t="s">
        <v>698</v>
      </c>
      <c r="D95" s="64" t="s">
        <v>28</v>
      </c>
    </row>
    <row r="96" spans="1:4" x14ac:dyDescent="0.35">
      <c r="A96" s="129"/>
      <c r="B96" s="128"/>
      <c r="C96" s="24" t="s">
        <v>722</v>
      </c>
      <c r="D96" s="64" t="s">
        <v>28</v>
      </c>
    </row>
    <row r="97" spans="1:4" x14ac:dyDescent="0.35">
      <c r="A97" s="129">
        <v>13</v>
      </c>
      <c r="B97" s="128" t="s">
        <v>700</v>
      </c>
      <c r="C97" s="24" t="s">
        <v>701</v>
      </c>
      <c r="D97" s="64" t="s">
        <v>28</v>
      </c>
    </row>
    <row r="98" spans="1:4" x14ac:dyDescent="0.35">
      <c r="A98" s="129"/>
      <c r="B98" s="128"/>
      <c r="C98" s="24" t="s">
        <v>702</v>
      </c>
      <c r="D98" s="64" t="s">
        <v>28</v>
      </c>
    </row>
    <row r="99" spans="1:4" x14ac:dyDescent="0.35">
      <c r="A99" s="24">
        <v>14</v>
      </c>
      <c r="B99" s="27" t="s">
        <v>723</v>
      </c>
      <c r="C99" s="24" t="s">
        <v>703</v>
      </c>
      <c r="D99" s="64" t="s">
        <v>28</v>
      </c>
    </row>
    <row r="100" spans="1:4" ht="50.4" x14ac:dyDescent="0.35">
      <c r="A100" s="24">
        <v>15</v>
      </c>
      <c r="B100" s="27" t="s">
        <v>704</v>
      </c>
      <c r="C100" s="24" t="s">
        <v>705</v>
      </c>
      <c r="D100" s="64" t="s">
        <v>28</v>
      </c>
    </row>
    <row r="101" spans="1:4" x14ac:dyDescent="0.35">
      <c r="A101" s="26" t="s">
        <v>213</v>
      </c>
      <c r="B101" s="138" t="s">
        <v>724</v>
      </c>
      <c r="C101" s="138"/>
      <c r="D101" s="26"/>
    </row>
    <row r="102" spans="1:4" x14ac:dyDescent="0.35">
      <c r="A102" s="26" t="s">
        <v>4</v>
      </c>
      <c r="B102" s="130" t="s">
        <v>363</v>
      </c>
      <c r="C102" s="130"/>
      <c r="D102" s="64"/>
    </row>
    <row r="103" spans="1:4" ht="18" x14ac:dyDescent="0.35">
      <c r="A103" s="24">
        <v>1</v>
      </c>
      <c r="B103" s="27" t="s">
        <v>661</v>
      </c>
      <c r="C103" s="24" t="s">
        <v>662</v>
      </c>
      <c r="D103" s="103" t="s">
        <v>1500</v>
      </c>
    </row>
    <row r="104" spans="1:4" ht="18" x14ac:dyDescent="0.35">
      <c r="A104" s="24">
        <v>2</v>
      </c>
      <c r="B104" s="27" t="s">
        <v>32</v>
      </c>
      <c r="C104" s="24" t="s">
        <v>662</v>
      </c>
      <c r="D104" s="103" t="s">
        <v>1501</v>
      </c>
    </row>
    <row r="105" spans="1:4" ht="18" x14ac:dyDescent="0.35">
      <c r="A105" s="24">
        <v>3</v>
      </c>
      <c r="B105" s="27" t="s">
        <v>33</v>
      </c>
      <c r="C105" s="24" t="s">
        <v>662</v>
      </c>
      <c r="D105" s="103" t="s">
        <v>1499</v>
      </c>
    </row>
    <row r="106" spans="1:4" x14ac:dyDescent="0.35">
      <c r="A106" s="24">
        <v>4</v>
      </c>
      <c r="B106" s="27" t="s">
        <v>663</v>
      </c>
      <c r="C106" s="24" t="s">
        <v>664</v>
      </c>
      <c r="D106" s="64" t="s">
        <v>28</v>
      </c>
    </row>
    <row r="107" spans="1:4" x14ac:dyDescent="0.35">
      <c r="A107" s="24">
        <v>5</v>
      </c>
      <c r="B107" s="27" t="s">
        <v>665</v>
      </c>
      <c r="C107" s="24" t="s">
        <v>666</v>
      </c>
      <c r="D107" s="64" t="s">
        <v>28</v>
      </c>
    </row>
    <row r="108" spans="1:4" ht="33.6" x14ac:dyDescent="0.35">
      <c r="A108" s="24">
        <v>6</v>
      </c>
      <c r="B108" s="27" t="s">
        <v>667</v>
      </c>
      <c r="C108" s="24" t="s">
        <v>39</v>
      </c>
      <c r="D108" s="64" t="s">
        <v>28</v>
      </c>
    </row>
    <row r="109" spans="1:4" x14ac:dyDescent="0.35">
      <c r="A109" s="24">
        <v>7</v>
      </c>
      <c r="B109" s="27" t="s">
        <v>668</v>
      </c>
      <c r="C109" s="24" t="s">
        <v>669</v>
      </c>
      <c r="D109" s="64" t="s">
        <v>28</v>
      </c>
    </row>
    <row r="110" spans="1:4" ht="33.6" x14ac:dyDescent="0.35">
      <c r="A110" s="24">
        <v>8</v>
      </c>
      <c r="B110" s="27" t="s">
        <v>34</v>
      </c>
      <c r="C110" s="24" t="s">
        <v>41</v>
      </c>
      <c r="D110" s="64" t="s">
        <v>28</v>
      </c>
    </row>
    <row r="111" spans="1:4" x14ac:dyDescent="0.35">
      <c r="A111" s="24">
        <v>9</v>
      </c>
      <c r="B111" s="27" t="s">
        <v>670</v>
      </c>
      <c r="C111" s="24" t="s">
        <v>671</v>
      </c>
      <c r="D111" s="64" t="s">
        <v>28</v>
      </c>
    </row>
    <row r="112" spans="1:4" ht="33.6" x14ac:dyDescent="0.35">
      <c r="A112" s="24">
        <v>10</v>
      </c>
      <c r="B112" s="27" t="s">
        <v>672</v>
      </c>
      <c r="C112" s="24" t="s">
        <v>849</v>
      </c>
      <c r="D112" s="64" t="s">
        <v>28</v>
      </c>
    </row>
    <row r="113" spans="1:4" x14ac:dyDescent="0.35">
      <c r="A113" s="24">
        <v>11</v>
      </c>
      <c r="B113" s="27" t="s">
        <v>674</v>
      </c>
      <c r="C113" s="24">
        <v>2025</v>
      </c>
      <c r="D113" s="64" t="s">
        <v>28</v>
      </c>
    </row>
    <row r="114" spans="1:4" x14ac:dyDescent="0.35">
      <c r="A114" s="26" t="s">
        <v>6</v>
      </c>
      <c r="B114" s="130" t="s">
        <v>676</v>
      </c>
      <c r="C114" s="130"/>
      <c r="D114" s="64"/>
    </row>
    <row r="115" spans="1:4" x14ac:dyDescent="0.35">
      <c r="A115" s="24">
        <v>1</v>
      </c>
      <c r="B115" s="27" t="s">
        <v>725</v>
      </c>
      <c r="C115" s="24" t="s">
        <v>726</v>
      </c>
      <c r="D115" s="64" t="s">
        <v>28</v>
      </c>
    </row>
    <row r="116" spans="1:4" x14ac:dyDescent="0.35">
      <c r="A116" s="24">
        <v>2</v>
      </c>
      <c r="B116" s="27" t="s">
        <v>727</v>
      </c>
      <c r="C116" s="24" t="s">
        <v>728</v>
      </c>
      <c r="D116" s="64" t="s">
        <v>28</v>
      </c>
    </row>
    <row r="117" spans="1:4" ht="50.4" x14ac:dyDescent="0.35">
      <c r="A117" s="24">
        <v>3</v>
      </c>
      <c r="B117" s="27" t="s">
        <v>729</v>
      </c>
      <c r="C117" s="24" t="s">
        <v>730</v>
      </c>
      <c r="D117" s="64" t="s">
        <v>28</v>
      </c>
    </row>
    <row r="118" spans="1:4" ht="33.6" x14ac:dyDescent="0.35">
      <c r="A118" s="129">
        <v>4</v>
      </c>
      <c r="B118" s="128" t="s">
        <v>731</v>
      </c>
      <c r="C118" s="27" t="s">
        <v>732</v>
      </c>
      <c r="D118" s="64" t="s">
        <v>28</v>
      </c>
    </row>
    <row r="119" spans="1:4" x14ac:dyDescent="0.35">
      <c r="A119" s="129"/>
      <c r="B119" s="128"/>
      <c r="C119" s="27" t="s">
        <v>733</v>
      </c>
      <c r="D119" s="64" t="s">
        <v>28</v>
      </c>
    </row>
    <row r="120" spans="1:4" ht="33.6" x14ac:dyDescent="0.35">
      <c r="A120" s="129"/>
      <c r="B120" s="128"/>
      <c r="C120" s="27" t="s">
        <v>734</v>
      </c>
      <c r="D120" s="64" t="s">
        <v>28</v>
      </c>
    </row>
    <row r="121" spans="1:4" ht="33.6" x14ac:dyDescent="0.35">
      <c r="A121" s="129"/>
      <c r="B121" s="128"/>
      <c r="C121" s="27" t="s">
        <v>735</v>
      </c>
      <c r="D121" s="64" t="s">
        <v>28</v>
      </c>
    </row>
    <row r="122" spans="1:4" x14ac:dyDescent="0.35">
      <c r="A122" s="129"/>
      <c r="B122" s="128"/>
      <c r="C122" s="27" t="s">
        <v>736</v>
      </c>
      <c r="D122" s="64" t="s">
        <v>28</v>
      </c>
    </row>
    <row r="123" spans="1:4" x14ac:dyDescent="0.35">
      <c r="A123" s="129"/>
      <c r="B123" s="128"/>
      <c r="C123" s="27" t="s">
        <v>737</v>
      </c>
      <c r="D123" s="64" t="s">
        <v>28</v>
      </c>
    </row>
    <row r="124" spans="1:4" x14ac:dyDescent="0.35">
      <c r="A124" s="134" t="s">
        <v>66</v>
      </c>
      <c r="B124" s="136" t="s">
        <v>740</v>
      </c>
      <c r="C124" s="27" t="s">
        <v>738</v>
      </c>
      <c r="D124" s="64" t="s">
        <v>28</v>
      </c>
    </row>
    <row r="125" spans="1:4" ht="50.4" x14ac:dyDescent="0.35">
      <c r="A125" s="144"/>
      <c r="B125" s="143"/>
      <c r="C125" s="24" t="s">
        <v>739</v>
      </c>
      <c r="D125" s="64" t="s">
        <v>28</v>
      </c>
    </row>
    <row r="126" spans="1:4" ht="50.4" x14ac:dyDescent="0.35">
      <c r="A126" s="135"/>
      <c r="B126" s="137"/>
      <c r="C126" s="67" t="s">
        <v>850</v>
      </c>
      <c r="D126" s="64" t="s">
        <v>28</v>
      </c>
    </row>
    <row r="127" spans="1:4" x14ac:dyDescent="0.35">
      <c r="A127" s="24">
        <v>6</v>
      </c>
      <c r="B127" s="27" t="s">
        <v>741</v>
      </c>
      <c r="C127" s="24" t="s">
        <v>742</v>
      </c>
      <c r="D127" s="64" t="s">
        <v>28</v>
      </c>
    </row>
    <row r="128" spans="1:4" x14ac:dyDescent="0.35">
      <c r="A128" s="24">
        <v>7</v>
      </c>
      <c r="B128" s="27" t="s">
        <v>743</v>
      </c>
      <c r="C128" s="24" t="s">
        <v>744</v>
      </c>
      <c r="D128" s="64" t="s">
        <v>28</v>
      </c>
    </row>
    <row r="129" spans="1:4" x14ac:dyDescent="0.35">
      <c r="A129" s="129">
        <v>8</v>
      </c>
      <c r="B129" s="128" t="s">
        <v>49</v>
      </c>
      <c r="C129" s="24" t="s">
        <v>698</v>
      </c>
      <c r="D129" s="64" t="s">
        <v>28</v>
      </c>
    </row>
    <row r="130" spans="1:4" x14ac:dyDescent="0.35">
      <c r="A130" s="129"/>
      <c r="B130" s="128"/>
      <c r="C130" s="24" t="s">
        <v>745</v>
      </c>
      <c r="D130" s="64" t="s">
        <v>28</v>
      </c>
    </row>
    <row r="131" spans="1:4" x14ac:dyDescent="0.35">
      <c r="A131" s="129">
        <v>9</v>
      </c>
      <c r="B131" s="128" t="s">
        <v>746</v>
      </c>
      <c r="C131" s="24" t="s">
        <v>701</v>
      </c>
      <c r="D131" s="64" t="s">
        <v>28</v>
      </c>
    </row>
    <row r="132" spans="1:4" x14ac:dyDescent="0.35">
      <c r="A132" s="134"/>
      <c r="B132" s="136"/>
      <c r="C132" s="66" t="s">
        <v>702</v>
      </c>
      <c r="D132" s="64" t="s">
        <v>28</v>
      </c>
    </row>
    <row r="133" spans="1:4" x14ac:dyDescent="0.35">
      <c r="A133" s="26" t="s">
        <v>214</v>
      </c>
      <c r="B133" s="138" t="s">
        <v>747</v>
      </c>
      <c r="C133" s="138"/>
      <c r="D133" s="64"/>
    </row>
    <row r="134" spans="1:4" x14ac:dyDescent="0.35">
      <c r="A134" s="26" t="s">
        <v>4</v>
      </c>
      <c r="B134" s="130" t="s">
        <v>363</v>
      </c>
      <c r="C134" s="130"/>
      <c r="D134" s="64"/>
    </row>
    <row r="135" spans="1:4" x14ac:dyDescent="0.35">
      <c r="A135" s="24">
        <v>1</v>
      </c>
      <c r="B135" s="27" t="s">
        <v>661</v>
      </c>
      <c r="C135" s="24" t="s">
        <v>662</v>
      </c>
      <c r="D135" s="104" t="s">
        <v>1502</v>
      </c>
    </row>
    <row r="136" spans="1:4" x14ac:dyDescent="0.35">
      <c r="A136" s="24">
        <v>2</v>
      </c>
      <c r="B136" s="27" t="s">
        <v>32</v>
      </c>
      <c r="C136" s="24" t="s">
        <v>662</v>
      </c>
      <c r="D136" s="104" t="s">
        <v>1503</v>
      </c>
    </row>
    <row r="137" spans="1:4" x14ac:dyDescent="0.35">
      <c r="A137" s="24">
        <v>3</v>
      </c>
      <c r="B137" s="27" t="s">
        <v>33</v>
      </c>
      <c r="C137" s="24" t="s">
        <v>662</v>
      </c>
      <c r="D137" s="104" t="s">
        <v>1571</v>
      </c>
    </row>
    <row r="138" spans="1:4" x14ac:dyDescent="0.35">
      <c r="A138" s="24">
        <v>4</v>
      </c>
      <c r="B138" s="27" t="s">
        <v>663</v>
      </c>
      <c r="C138" s="24" t="s">
        <v>664</v>
      </c>
      <c r="D138" s="64" t="s">
        <v>28</v>
      </c>
    </row>
    <row r="139" spans="1:4" x14ac:dyDescent="0.35">
      <c r="A139" s="24">
        <v>5</v>
      </c>
      <c r="B139" s="27" t="s">
        <v>665</v>
      </c>
      <c r="C139" s="24" t="s">
        <v>666</v>
      </c>
      <c r="D139" s="64" t="s">
        <v>28</v>
      </c>
    </row>
    <row r="140" spans="1:4" ht="33.6" x14ac:dyDescent="0.35">
      <c r="A140" s="24">
        <v>6</v>
      </c>
      <c r="B140" s="27" t="s">
        <v>667</v>
      </c>
      <c r="C140" s="24" t="s">
        <v>39</v>
      </c>
      <c r="D140" s="64" t="s">
        <v>28</v>
      </c>
    </row>
    <row r="141" spans="1:4" x14ac:dyDescent="0.35">
      <c r="A141" s="24">
        <v>7</v>
      </c>
      <c r="B141" s="27" t="s">
        <v>668</v>
      </c>
      <c r="C141" s="24" t="s">
        <v>669</v>
      </c>
      <c r="D141" s="64" t="s">
        <v>28</v>
      </c>
    </row>
    <row r="142" spans="1:4" ht="33.6" x14ac:dyDescent="0.35">
      <c r="A142" s="24">
        <v>8</v>
      </c>
      <c r="B142" s="27" t="s">
        <v>34</v>
      </c>
      <c r="C142" s="24" t="s">
        <v>41</v>
      </c>
      <c r="D142" s="64" t="s">
        <v>28</v>
      </c>
    </row>
    <row r="143" spans="1:4" x14ac:dyDescent="0.35">
      <c r="A143" s="24">
        <v>9</v>
      </c>
      <c r="B143" s="27" t="s">
        <v>670</v>
      </c>
      <c r="C143" s="24" t="s">
        <v>671</v>
      </c>
      <c r="D143" s="64" t="s">
        <v>28</v>
      </c>
    </row>
    <row r="144" spans="1:4" ht="33.6" x14ac:dyDescent="0.35">
      <c r="A144" s="24">
        <v>10</v>
      </c>
      <c r="B144" s="27" t="s">
        <v>672</v>
      </c>
      <c r="C144" s="24" t="s">
        <v>849</v>
      </c>
      <c r="D144" s="64" t="s">
        <v>28</v>
      </c>
    </row>
    <row r="145" spans="1:4" ht="50.4" x14ac:dyDescent="0.35">
      <c r="A145" s="24">
        <v>11</v>
      </c>
      <c r="B145" s="27" t="s">
        <v>674</v>
      </c>
      <c r="C145" s="24" t="s">
        <v>851</v>
      </c>
      <c r="D145" s="64" t="s">
        <v>28</v>
      </c>
    </row>
    <row r="146" spans="1:4" ht="33.6" x14ac:dyDescent="0.35">
      <c r="A146" s="24">
        <v>12</v>
      </c>
      <c r="B146" s="27" t="s">
        <v>675</v>
      </c>
      <c r="C146" s="24" t="s">
        <v>28</v>
      </c>
      <c r="D146" s="64" t="s">
        <v>28</v>
      </c>
    </row>
    <row r="147" spans="1:4" x14ac:dyDescent="0.35">
      <c r="A147" s="26" t="s">
        <v>6</v>
      </c>
      <c r="B147" s="75" t="s">
        <v>676</v>
      </c>
      <c r="C147" s="24"/>
      <c r="D147" s="64"/>
    </row>
    <row r="148" spans="1:4" x14ac:dyDescent="0.35">
      <c r="A148" s="26" t="s">
        <v>67</v>
      </c>
      <c r="B148" s="7" t="s">
        <v>748</v>
      </c>
      <c r="C148" s="7"/>
      <c r="D148" s="64"/>
    </row>
    <row r="149" spans="1:4" x14ac:dyDescent="0.35">
      <c r="A149" s="24">
        <v>1</v>
      </c>
      <c r="B149" s="27" t="s">
        <v>68</v>
      </c>
      <c r="C149" s="24" t="s">
        <v>749</v>
      </c>
      <c r="D149" s="64" t="s">
        <v>28</v>
      </c>
    </row>
    <row r="150" spans="1:4" x14ac:dyDescent="0.35">
      <c r="A150" s="24">
        <v>2</v>
      </c>
      <c r="B150" s="27" t="s">
        <v>750</v>
      </c>
      <c r="C150" s="24" t="s">
        <v>751</v>
      </c>
      <c r="D150" s="64" t="s">
        <v>28</v>
      </c>
    </row>
    <row r="151" spans="1:4" x14ac:dyDescent="0.35">
      <c r="A151" s="129">
        <v>3</v>
      </c>
      <c r="B151" s="128" t="s">
        <v>49</v>
      </c>
      <c r="C151" s="24" t="s">
        <v>752</v>
      </c>
      <c r="D151" s="64" t="s">
        <v>28</v>
      </c>
    </row>
    <row r="152" spans="1:4" x14ac:dyDescent="0.35">
      <c r="A152" s="129"/>
      <c r="B152" s="128"/>
      <c r="C152" s="24" t="s">
        <v>753</v>
      </c>
      <c r="D152" s="64" t="s">
        <v>28</v>
      </c>
    </row>
    <row r="153" spans="1:4" x14ac:dyDescent="0.35">
      <c r="A153" s="129">
        <v>4</v>
      </c>
      <c r="B153" s="128" t="s">
        <v>746</v>
      </c>
      <c r="C153" s="24" t="s">
        <v>701</v>
      </c>
      <c r="D153" s="64" t="s">
        <v>28</v>
      </c>
    </row>
    <row r="154" spans="1:4" x14ac:dyDescent="0.35">
      <c r="A154" s="129"/>
      <c r="B154" s="128"/>
      <c r="C154" s="24" t="s">
        <v>702</v>
      </c>
      <c r="D154" s="64" t="s">
        <v>28</v>
      </c>
    </row>
    <row r="155" spans="1:4" x14ac:dyDescent="0.35">
      <c r="A155" s="24">
        <v>5</v>
      </c>
      <c r="B155" s="27" t="s">
        <v>754</v>
      </c>
      <c r="C155" s="24" t="s">
        <v>755</v>
      </c>
      <c r="D155" s="64" t="s">
        <v>28</v>
      </c>
    </row>
    <row r="156" spans="1:4" x14ac:dyDescent="0.35">
      <c r="A156" s="24">
        <v>6</v>
      </c>
      <c r="B156" s="27" t="s">
        <v>756</v>
      </c>
      <c r="C156" s="24" t="s">
        <v>755</v>
      </c>
      <c r="D156" s="64" t="s">
        <v>28</v>
      </c>
    </row>
    <row r="157" spans="1:4" x14ac:dyDescent="0.35">
      <c r="A157" s="24">
        <v>7</v>
      </c>
      <c r="B157" s="27" t="s">
        <v>757</v>
      </c>
      <c r="C157" s="24" t="s">
        <v>758</v>
      </c>
      <c r="D157" s="64" t="s">
        <v>28</v>
      </c>
    </row>
    <row r="158" spans="1:4" x14ac:dyDescent="0.35">
      <c r="A158" s="24">
        <v>8</v>
      </c>
      <c r="B158" s="27" t="s">
        <v>759</v>
      </c>
      <c r="C158" s="24" t="s">
        <v>760</v>
      </c>
      <c r="D158" s="64" t="s">
        <v>28</v>
      </c>
    </row>
    <row r="159" spans="1:4" x14ac:dyDescent="0.35">
      <c r="A159" s="26" t="s">
        <v>69</v>
      </c>
      <c r="B159" s="7" t="s">
        <v>761</v>
      </c>
      <c r="C159" s="7"/>
      <c r="D159" s="64"/>
    </row>
    <row r="160" spans="1:4" x14ac:dyDescent="0.35">
      <c r="A160" s="24">
        <v>1</v>
      </c>
      <c r="B160" s="27" t="s">
        <v>226</v>
      </c>
      <c r="C160" s="24" t="s">
        <v>762</v>
      </c>
      <c r="D160" s="64" t="s">
        <v>28</v>
      </c>
    </row>
    <row r="161" spans="1:4" ht="33.6" x14ac:dyDescent="0.35">
      <c r="A161" s="129">
        <v>2</v>
      </c>
      <c r="B161" s="128" t="s">
        <v>763</v>
      </c>
      <c r="C161" s="24" t="s">
        <v>764</v>
      </c>
      <c r="D161" s="64" t="s">
        <v>28</v>
      </c>
    </row>
    <row r="162" spans="1:4" ht="33.6" x14ac:dyDescent="0.35">
      <c r="A162" s="129"/>
      <c r="B162" s="128"/>
      <c r="C162" s="24" t="s">
        <v>765</v>
      </c>
      <c r="D162" s="64" t="s">
        <v>28</v>
      </c>
    </row>
    <row r="163" spans="1:4" x14ac:dyDescent="0.35">
      <c r="A163" s="24">
        <v>3</v>
      </c>
      <c r="B163" s="27" t="s">
        <v>716</v>
      </c>
      <c r="C163" s="24" t="s">
        <v>766</v>
      </c>
      <c r="D163" s="64" t="s">
        <v>28</v>
      </c>
    </row>
    <row r="164" spans="1:4" x14ac:dyDescent="0.35">
      <c r="A164" s="24">
        <v>4</v>
      </c>
      <c r="B164" s="27" t="s">
        <v>767</v>
      </c>
      <c r="C164" s="24" t="s">
        <v>768</v>
      </c>
      <c r="D164" s="64" t="s">
        <v>28</v>
      </c>
    </row>
    <row r="165" spans="1:4" x14ac:dyDescent="0.35">
      <c r="A165" s="129">
        <v>5</v>
      </c>
      <c r="B165" s="128" t="s">
        <v>49</v>
      </c>
      <c r="C165" s="24" t="s">
        <v>752</v>
      </c>
      <c r="D165" s="64" t="s">
        <v>28</v>
      </c>
    </row>
    <row r="166" spans="1:4" x14ac:dyDescent="0.35">
      <c r="A166" s="129"/>
      <c r="B166" s="128"/>
      <c r="C166" s="24" t="s">
        <v>753</v>
      </c>
      <c r="D166" s="64" t="s">
        <v>28</v>
      </c>
    </row>
    <row r="167" spans="1:4" x14ac:dyDescent="0.35">
      <c r="A167" s="129">
        <v>6</v>
      </c>
      <c r="B167" s="128" t="s">
        <v>700</v>
      </c>
      <c r="C167" s="24" t="s">
        <v>701</v>
      </c>
      <c r="D167" s="64" t="s">
        <v>28</v>
      </c>
    </row>
    <row r="168" spans="1:4" x14ac:dyDescent="0.35">
      <c r="A168" s="129"/>
      <c r="B168" s="128"/>
      <c r="C168" s="24" t="s">
        <v>702</v>
      </c>
      <c r="D168" s="64" t="s">
        <v>28</v>
      </c>
    </row>
    <row r="169" spans="1:4" x14ac:dyDescent="0.35">
      <c r="A169" s="24">
        <v>7</v>
      </c>
      <c r="B169" s="27" t="s">
        <v>769</v>
      </c>
      <c r="C169" s="24" t="s">
        <v>770</v>
      </c>
      <c r="D169" s="64" t="s">
        <v>28</v>
      </c>
    </row>
    <row r="170" spans="1:4" x14ac:dyDescent="0.35">
      <c r="A170" s="24">
        <v>8</v>
      </c>
      <c r="B170" s="27" t="s">
        <v>771</v>
      </c>
      <c r="C170" s="24" t="s">
        <v>39</v>
      </c>
      <c r="D170" s="64" t="s">
        <v>28</v>
      </c>
    </row>
    <row r="171" spans="1:4" x14ac:dyDescent="0.35">
      <c r="A171" s="24">
        <v>9</v>
      </c>
      <c r="B171" s="27" t="s">
        <v>772</v>
      </c>
      <c r="C171" s="24" t="s">
        <v>773</v>
      </c>
      <c r="D171" s="64" t="s">
        <v>28</v>
      </c>
    </row>
    <row r="172" spans="1:4" x14ac:dyDescent="0.35">
      <c r="A172" s="26" t="s">
        <v>70</v>
      </c>
      <c r="B172" s="7" t="s">
        <v>774</v>
      </c>
      <c r="C172" s="7"/>
      <c r="D172" s="64"/>
    </row>
    <row r="173" spans="1:4" x14ac:dyDescent="0.35">
      <c r="A173" s="24">
        <v>1</v>
      </c>
      <c r="B173" s="27" t="s">
        <v>226</v>
      </c>
      <c r="C173" s="24" t="s">
        <v>762</v>
      </c>
      <c r="D173" s="64" t="s">
        <v>28</v>
      </c>
    </row>
    <row r="174" spans="1:4" x14ac:dyDescent="0.35">
      <c r="A174" s="24">
        <v>2</v>
      </c>
      <c r="B174" s="27" t="s">
        <v>716</v>
      </c>
      <c r="C174" s="24" t="s">
        <v>766</v>
      </c>
      <c r="D174" s="64" t="s">
        <v>28</v>
      </c>
    </row>
    <row r="175" spans="1:4" ht="33.6" x14ac:dyDescent="0.35">
      <c r="A175" s="129">
        <v>3</v>
      </c>
      <c r="B175" s="128" t="s">
        <v>763</v>
      </c>
      <c r="C175" s="24" t="s">
        <v>775</v>
      </c>
      <c r="D175" s="64" t="s">
        <v>28</v>
      </c>
    </row>
    <row r="176" spans="1:4" ht="33.6" x14ac:dyDescent="0.35">
      <c r="A176" s="129"/>
      <c r="B176" s="128"/>
      <c r="C176" s="24" t="s">
        <v>765</v>
      </c>
      <c r="D176" s="64" t="s">
        <v>28</v>
      </c>
    </row>
    <row r="177" spans="1:4" x14ac:dyDescent="0.35">
      <c r="A177" s="134">
        <v>4</v>
      </c>
      <c r="B177" s="136" t="s">
        <v>49</v>
      </c>
      <c r="C177" s="24" t="s">
        <v>752</v>
      </c>
      <c r="D177" s="64" t="s">
        <v>28</v>
      </c>
    </row>
    <row r="178" spans="1:4" x14ac:dyDescent="0.35">
      <c r="A178" s="135"/>
      <c r="B178" s="137"/>
      <c r="C178" s="24" t="s">
        <v>753</v>
      </c>
      <c r="D178" s="64" t="s">
        <v>28</v>
      </c>
    </row>
    <row r="179" spans="1:4" x14ac:dyDescent="0.35">
      <c r="A179" s="129">
        <v>5</v>
      </c>
      <c r="B179" s="128" t="s">
        <v>700</v>
      </c>
      <c r="C179" s="24" t="s">
        <v>701</v>
      </c>
      <c r="D179" s="64" t="s">
        <v>28</v>
      </c>
    </row>
    <row r="180" spans="1:4" x14ac:dyDescent="0.35">
      <c r="A180" s="129"/>
      <c r="B180" s="128"/>
      <c r="C180" s="24" t="s">
        <v>702</v>
      </c>
      <c r="D180" s="64" t="s">
        <v>28</v>
      </c>
    </row>
    <row r="181" spans="1:4" x14ac:dyDescent="0.35">
      <c r="A181" s="24">
        <v>6</v>
      </c>
      <c r="B181" s="27" t="s">
        <v>776</v>
      </c>
      <c r="C181" s="24" t="s">
        <v>773</v>
      </c>
      <c r="D181" s="64" t="s">
        <v>28</v>
      </c>
    </row>
    <row r="182" spans="1:4" x14ac:dyDescent="0.35">
      <c r="A182" s="24">
        <v>7</v>
      </c>
      <c r="B182" s="27" t="s">
        <v>769</v>
      </c>
      <c r="C182" s="24" t="s">
        <v>770</v>
      </c>
      <c r="D182" s="64" t="s">
        <v>28</v>
      </c>
    </row>
    <row r="183" spans="1:4" x14ac:dyDescent="0.35">
      <c r="A183" s="24">
        <v>8</v>
      </c>
      <c r="B183" s="27" t="s">
        <v>771</v>
      </c>
      <c r="C183" s="24" t="s">
        <v>777</v>
      </c>
      <c r="D183" s="64" t="s">
        <v>28</v>
      </c>
    </row>
    <row r="184" spans="1:4" x14ac:dyDescent="0.35">
      <c r="A184" s="26" t="s">
        <v>71</v>
      </c>
      <c r="B184" s="7" t="s">
        <v>778</v>
      </c>
      <c r="C184" s="7"/>
      <c r="D184" s="64"/>
    </row>
    <row r="185" spans="1:4" x14ac:dyDescent="0.35">
      <c r="A185" s="24">
        <v>1</v>
      </c>
      <c r="B185" s="27" t="s">
        <v>779</v>
      </c>
      <c r="C185" s="24" t="s">
        <v>780</v>
      </c>
      <c r="D185" s="64" t="s">
        <v>28</v>
      </c>
    </row>
    <row r="186" spans="1:4" ht="33.6" x14ac:dyDescent="0.35">
      <c r="A186" s="24">
        <v>2</v>
      </c>
      <c r="B186" s="27" t="s">
        <v>781</v>
      </c>
      <c r="C186" s="24" t="s">
        <v>782</v>
      </c>
      <c r="D186" s="64" t="s">
        <v>28</v>
      </c>
    </row>
    <row r="187" spans="1:4" x14ac:dyDescent="0.35">
      <c r="A187" s="24">
        <v>3</v>
      </c>
      <c r="B187" s="27" t="s">
        <v>716</v>
      </c>
      <c r="C187" s="24" t="s">
        <v>783</v>
      </c>
      <c r="D187" s="64" t="s">
        <v>28</v>
      </c>
    </row>
    <row r="188" spans="1:4" x14ac:dyDescent="0.35">
      <c r="A188" s="129">
        <v>4</v>
      </c>
      <c r="B188" s="128" t="s">
        <v>697</v>
      </c>
      <c r="C188" s="24" t="s">
        <v>752</v>
      </c>
      <c r="D188" s="64" t="s">
        <v>28</v>
      </c>
    </row>
    <row r="189" spans="1:4" x14ac:dyDescent="0.35">
      <c r="A189" s="129"/>
      <c r="B189" s="128"/>
      <c r="C189" s="24" t="s">
        <v>753</v>
      </c>
      <c r="D189" s="64" t="s">
        <v>28</v>
      </c>
    </row>
    <row r="190" spans="1:4" x14ac:dyDescent="0.35">
      <c r="A190" s="129">
        <v>5</v>
      </c>
      <c r="B190" s="128" t="s">
        <v>700</v>
      </c>
      <c r="C190" s="24" t="s">
        <v>701</v>
      </c>
      <c r="D190" s="64" t="s">
        <v>28</v>
      </c>
    </row>
    <row r="191" spans="1:4" x14ac:dyDescent="0.35">
      <c r="A191" s="129"/>
      <c r="B191" s="128"/>
      <c r="C191" s="24" t="s">
        <v>702</v>
      </c>
      <c r="D191" s="64" t="s">
        <v>28</v>
      </c>
    </row>
    <row r="192" spans="1:4" x14ac:dyDescent="0.35">
      <c r="A192" s="26" t="s">
        <v>72</v>
      </c>
      <c r="B192" s="7" t="s">
        <v>784</v>
      </c>
      <c r="C192" s="7"/>
      <c r="D192" s="64"/>
    </row>
    <row r="193" spans="1:4" ht="33.6" x14ac:dyDescent="0.35">
      <c r="A193" s="24">
        <v>1</v>
      </c>
      <c r="B193" s="27" t="s">
        <v>785</v>
      </c>
      <c r="C193" s="24" t="s">
        <v>39</v>
      </c>
      <c r="D193" s="64" t="s">
        <v>28</v>
      </c>
    </row>
    <row r="194" spans="1:4" x14ac:dyDescent="0.35">
      <c r="A194" s="24">
        <v>2</v>
      </c>
      <c r="B194" s="27" t="s">
        <v>786</v>
      </c>
      <c r="C194" s="24" t="s">
        <v>39</v>
      </c>
      <c r="D194" s="64" t="s">
        <v>28</v>
      </c>
    </row>
    <row r="195" spans="1:4" x14ac:dyDescent="0.35">
      <c r="A195" s="129">
        <v>3</v>
      </c>
      <c r="B195" s="128" t="s">
        <v>697</v>
      </c>
      <c r="C195" s="24" t="s">
        <v>752</v>
      </c>
      <c r="D195" s="64" t="s">
        <v>28</v>
      </c>
    </row>
    <row r="196" spans="1:4" x14ac:dyDescent="0.35">
      <c r="A196" s="129"/>
      <c r="B196" s="128"/>
      <c r="C196" s="24" t="s">
        <v>753</v>
      </c>
      <c r="D196" s="64" t="s">
        <v>28</v>
      </c>
    </row>
    <row r="197" spans="1:4" x14ac:dyDescent="0.35">
      <c r="A197" s="129">
        <v>4</v>
      </c>
      <c r="B197" s="128" t="s">
        <v>700</v>
      </c>
      <c r="C197" s="24" t="s">
        <v>701</v>
      </c>
      <c r="D197" s="64" t="s">
        <v>28</v>
      </c>
    </row>
    <row r="198" spans="1:4" x14ac:dyDescent="0.35">
      <c r="A198" s="129"/>
      <c r="B198" s="128"/>
      <c r="C198" s="24" t="s">
        <v>702</v>
      </c>
      <c r="D198" s="64" t="s">
        <v>28</v>
      </c>
    </row>
    <row r="199" spans="1:4" x14ac:dyDescent="0.35">
      <c r="A199" s="26" t="s">
        <v>215</v>
      </c>
      <c r="B199" s="138" t="s">
        <v>787</v>
      </c>
      <c r="C199" s="138"/>
      <c r="D199" s="26"/>
    </row>
    <row r="200" spans="1:4" x14ac:dyDescent="0.35">
      <c r="A200" s="26" t="s">
        <v>4</v>
      </c>
      <c r="B200" s="130" t="s">
        <v>363</v>
      </c>
      <c r="C200" s="130"/>
      <c r="D200" s="64"/>
    </row>
    <row r="201" spans="1:4" ht="18" x14ac:dyDescent="0.35">
      <c r="A201" s="24">
        <v>1</v>
      </c>
      <c r="B201" s="27" t="s">
        <v>788</v>
      </c>
      <c r="C201" s="24" t="s">
        <v>662</v>
      </c>
      <c r="D201" s="103" t="s">
        <v>1504</v>
      </c>
    </row>
    <row r="202" spans="1:4" x14ac:dyDescent="0.35">
      <c r="A202" s="24">
        <v>2</v>
      </c>
      <c r="B202" s="27" t="s">
        <v>32</v>
      </c>
      <c r="C202" s="24" t="s">
        <v>662</v>
      </c>
      <c r="D202" s="104" t="s">
        <v>1505</v>
      </c>
    </row>
    <row r="203" spans="1:4" x14ac:dyDescent="0.35">
      <c r="A203" s="24">
        <v>3</v>
      </c>
      <c r="B203" s="27" t="s">
        <v>33</v>
      </c>
      <c r="C203" s="24" t="s">
        <v>662</v>
      </c>
      <c r="D203" s="104" t="s">
        <v>1506</v>
      </c>
    </row>
    <row r="204" spans="1:4" x14ac:dyDescent="0.35">
      <c r="A204" s="24">
        <v>4</v>
      </c>
      <c r="B204" s="27" t="s">
        <v>663</v>
      </c>
      <c r="C204" s="24" t="s">
        <v>664</v>
      </c>
      <c r="D204" s="64" t="s">
        <v>28</v>
      </c>
    </row>
    <row r="205" spans="1:4" x14ac:dyDescent="0.35">
      <c r="A205" s="24">
        <v>5</v>
      </c>
      <c r="B205" s="27" t="s">
        <v>665</v>
      </c>
      <c r="C205" s="24" t="s">
        <v>666</v>
      </c>
      <c r="D205" s="64" t="s">
        <v>28</v>
      </c>
    </row>
    <row r="206" spans="1:4" ht="33.6" x14ac:dyDescent="0.35">
      <c r="A206" s="24">
        <v>6</v>
      </c>
      <c r="B206" s="27" t="s">
        <v>667</v>
      </c>
      <c r="C206" s="24" t="s">
        <v>39</v>
      </c>
      <c r="D206" s="64" t="s">
        <v>28</v>
      </c>
    </row>
    <row r="207" spans="1:4" x14ac:dyDescent="0.35">
      <c r="A207" s="24">
        <v>7</v>
      </c>
      <c r="B207" s="27" t="s">
        <v>670</v>
      </c>
      <c r="C207" s="24" t="s">
        <v>671</v>
      </c>
      <c r="D207" s="64" t="s">
        <v>28</v>
      </c>
    </row>
    <row r="208" spans="1:4" ht="33.6" x14ac:dyDescent="0.35">
      <c r="A208" s="24">
        <v>8</v>
      </c>
      <c r="B208" s="27" t="s">
        <v>672</v>
      </c>
      <c r="C208" s="24" t="s">
        <v>849</v>
      </c>
      <c r="D208" s="64" t="s">
        <v>28</v>
      </c>
    </row>
    <row r="209" spans="1:4" ht="33.6" x14ac:dyDescent="0.35">
      <c r="A209" s="24">
        <v>9</v>
      </c>
      <c r="B209" s="27" t="s">
        <v>789</v>
      </c>
      <c r="C209" s="24" t="s">
        <v>28</v>
      </c>
      <c r="D209" s="64" t="s">
        <v>28</v>
      </c>
    </row>
    <row r="210" spans="1:4" x14ac:dyDescent="0.35">
      <c r="A210" s="26" t="s">
        <v>6</v>
      </c>
      <c r="B210" s="130" t="s">
        <v>676</v>
      </c>
      <c r="C210" s="130"/>
      <c r="D210" s="64"/>
    </row>
    <row r="211" spans="1:4" ht="84" x14ac:dyDescent="0.35">
      <c r="A211" s="24">
        <v>1</v>
      </c>
      <c r="B211" s="27" t="s">
        <v>790</v>
      </c>
      <c r="C211" s="24" t="s">
        <v>703</v>
      </c>
      <c r="D211" s="64" t="s">
        <v>28</v>
      </c>
    </row>
    <row r="212" spans="1:4" ht="67.2" x14ac:dyDescent="0.35">
      <c r="A212" s="24">
        <v>2</v>
      </c>
      <c r="B212" s="27" t="s">
        <v>791</v>
      </c>
      <c r="C212" s="24" t="s">
        <v>703</v>
      </c>
      <c r="D212" s="64" t="s">
        <v>28</v>
      </c>
    </row>
    <row r="213" spans="1:4" ht="33.6" x14ac:dyDescent="0.35">
      <c r="A213" s="24">
        <v>3</v>
      </c>
      <c r="B213" s="27" t="s">
        <v>792</v>
      </c>
      <c r="C213" s="24" t="s">
        <v>703</v>
      </c>
      <c r="D213" s="64" t="s">
        <v>28</v>
      </c>
    </row>
    <row r="214" spans="1:4" ht="50.4" x14ac:dyDescent="0.35">
      <c r="A214" s="24">
        <v>4</v>
      </c>
      <c r="B214" s="27" t="s">
        <v>793</v>
      </c>
      <c r="C214" s="24" t="s">
        <v>703</v>
      </c>
      <c r="D214" s="64" t="s">
        <v>28</v>
      </c>
    </row>
    <row r="215" spans="1:4" ht="117.6" x14ac:dyDescent="0.35">
      <c r="A215" s="24">
        <v>5</v>
      </c>
      <c r="B215" s="27" t="s">
        <v>794</v>
      </c>
      <c r="C215" s="24" t="s">
        <v>703</v>
      </c>
      <c r="D215" s="64" t="s">
        <v>28</v>
      </c>
    </row>
    <row r="216" spans="1:4" ht="33.6" x14ac:dyDescent="0.35">
      <c r="A216" s="24">
        <v>6</v>
      </c>
      <c r="B216" s="27" t="s">
        <v>795</v>
      </c>
      <c r="C216" s="24" t="s">
        <v>703</v>
      </c>
      <c r="D216" s="64" t="s">
        <v>28</v>
      </c>
    </row>
    <row r="217" spans="1:4" ht="84" x14ac:dyDescent="0.35">
      <c r="A217" s="24">
        <v>7</v>
      </c>
      <c r="B217" s="27" t="s">
        <v>796</v>
      </c>
      <c r="C217" s="24" t="s">
        <v>797</v>
      </c>
      <c r="D217" s="64" t="s">
        <v>28</v>
      </c>
    </row>
    <row r="218" spans="1:4" x14ac:dyDescent="0.35">
      <c r="A218" s="24">
        <v>8</v>
      </c>
      <c r="B218" s="27" t="s">
        <v>798</v>
      </c>
      <c r="C218" s="24" t="s">
        <v>39</v>
      </c>
      <c r="D218" s="64" t="s">
        <v>28</v>
      </c>
    </row>
    <row r="219" spans="1:4" x14ac:dyDescent="0.35">
      <c r="A219" s="24">
        <v>9</v>
      </c>
      <c r="B219" s="27" t="s">
        <v>799</v>
      </c>
      <c r="C219" s="24" t="s">
        <v>39</v>
      </c>
      <c r="D219" s="64" t="s">
        <v>28</v>
      </c>
    </row>
    <row r="220" spans="1:4" x14ac:dyDescent="0.35">
      <c r="A220" s="129">
        <v>10</v>
      </c>
      <c r="B220" s="128" t="s">
        <v>697</v>
      </c>
      <c r="C220" s="24" t="s">
        <v>752</v>
      </c>
      <c r="D220" s="64" t="s">
        <v>28</v>
      </c>
    </row>
    <row r="221" spans="1:4" x14ac:dyDescent="0.35">
      <c r="A221" s="129"/>
      <c r="B221" s="128"/>
      <c r="C221" s="24" t="s">
        <v>753</v>
      </c>
      <c r="D221" s="64" t="s">
        <v>28</v>
      </c>
    </row>
    <row r="222" spans="1:4" x14ac:dyDescent="0.35">
      <c r="A222" s="129">
        <v>11</v>
      </c>
      <c r="B222" s="128" t="s">
        <v>700</v>
      </c>
      <c r="C222" s="24" t="s">
        <v>800</v>
      </c>
      <c r="D222" s="64" t="s">
        <v>28</v>
      </c>
    </row>
    <row r="223" spans="1:4" x14ac:dyDescent="0.35">
      <c r="A223" s="129"/>
      <c r="B223" s="128"/>
      <c r="C223" s="24" t="s">
        <v>702</v>
      </c>
      <c r="D223" s="64" t="s">
        <v>28</v>
      </c>
    </row>
    <row r="224" spans="1:4" ht="67.2" x14ac:dyDescent="0.35">
      <c r="A224" s="129">
        <v>12</v>
      </c>
      <c r="B224" s="128" t="s">
        <v>801</v>
      </c>
      <c r="C224" s="24" t="s">
        <v>802</v>
      </c>
      <c r="D224" s="64" t="s">
        <v>28</v>
      </c>
    </row>
    <row r="225" spans="1:4" ht="33.6" x14ac:dyDescent="0.35">
      <c r="A225" s="129"/>
      <c r="B225" s="128"/>
      <c r="C225" s="24" t="s">
        <v>803</v>
      </c>
      <c r="D225" s="64" t="s">
        <v>28</v>
      </c>
    </row>
    <row r="226" spans="1:4" ht="50.4" x14ac:dyDescent="0.35">
      <c r="A226" s="129"/>
      <c r="B226" s="128"/>
      <c r="C226" s="67" t="s">
        <v>804</v>
      </c>
      <c r="D226" s="64" t="s">
        <v>28</v>
      </c>
    </row>
    <row r="227" spans="1:4" x14ac:dyDescent="0.35">
      <c r="A227" s="26" t="s">
        <v>216</v>
      </c>
      <c r="B227" s="138" t="s">
        <v>805</v>
      </c>
      <c r="C227" s="138"/>
      <c r="D227" s="26"/>
    </row>
    <row r="228" spans="1:4" x14ac:dyDescent="0.35">
      <c r="A228" s="26" t="s">
        <v>4</v>
      </c>
      <c r="B228" s="130" t="s">
        <v>363</v>
      </c>
      <c r="C228" s="130"/>
      <c r="D228" s="64"/>
    </row>
    <row r="229" spans="1:4" ht="18" x14ac:dyDescent="0.35">
      <c r="A229" s="24">
        <v>1</v>
      </c>
      <c r="B229" s="27" t="s">
        <v>661</v>
      </c>
      <c r="C229" s="24" t="s">
        <v>662</v>
      </c>
      <c r="D229" s="103" t="s">
        <v>1507</v>
      </c>
    </row>
    <row r="230" spans="1:4" x14ac:dyDescent="0.35">
      <c r="A230" s="24">
        <v>2</v>
      </c>
      <c r="B230" s="27" t="s">
        <v>32</v>
      </c>
      <c r="C230" s="24" t="s">
        <v>662</v>
      </c>
      <c r="D230" s="64" t="s">
        <v>1498</v>
      </c>
    </row>
    <row r="231" spans="1:4" ht="18" x14ac:dyDescent="0.35">
      <c r="A231" s="24">
        <v>3</v>
      </c>
      <c r="B231" s="27" t="s">
        <v>33</v>
      </c>
      <c r="C231" s="24" t="s">
        <v>662</v>
      </c>
      <c r="D231" s="103" t="s">
        <v>1499</v>
      </c>
    </row>
    <row r="232" spans="1:4" x14ac:dyDescent="0.35">
      <c r="A232" s="24">
        <v>4</v>
      </c>
      <c r="B232" s="27" t="s">
        <v>663</v>
      </c>
      <c r="C232" s="24" t="s">
        <v>664</v>
      </c>
      <c r="D232" s="64" t="s">
        <v>28</v>
      </c>
    </row>
    <row r="233" spans="1:4" x14ac:dyDescent="0.35">
      <c r="A233" s="24">
        <v>5</v>
      </c>
      <c r="B233" s="27" t="s">
        <v>665</v>
      </c>
      <c r="C233" s="24" t="s">
        <v>666</v>
      </c>
      <c r="D233" s="64" t="s">
        <v>28</v>
      </c>
    </row>
    <row r="234" spans="1:4" ht="33.6" x14ac:dyDescent="0.35">
      <c r="A234" s="24">
        <v>6</v>
      </c>
      <c r="B234" s="27" t="s">
        <v>667</v>
      </c>
      <c r="C234" s="24" t="s">
        <v>39</v>
      </c>
      <c r="D234" s="64" t="s">
        <v>28</v>
      </c>
    </row>
    <row r="235" spans="1:4" x14ac:dyDescent="0.35">
      <c r="A235" s="24">
        <v>7</v>
      </c>
      <c r="B235" s="27" t="s">
        <v>668</v>
      </c>
      <c r="C235" s="24" t="s">
        <v>669</v>
      </c>
      <c r="D235" s="64" t="s">
        <v>28</v>
      </c>
    </row>
    <row r="236" spans="1:4" ht="33.6" x14ac:dyDescent="0.35">
      <c r="A236" s="24">
        <v>8</v>
      </c>
      <c r="B236" s="27" t="s">
        <v>34</v>
      </c>
      <c r="C236" s="24" t="s">
        <v>41</v>
      </c>
      <c r="D236" s="64" t="s">
        <v>28</v>
      </c>
    </row>
    <row r="237" spans="1:4" x14ac:dyDescent="0.35">
      <c r="A237" s="24">
        <v>9</v>
      </c>
      <c r="B237" s="27" t="s">
        <v>670</v>
      </c>
      <c r="C237" s="24" t="s">
        <v>671</v>
      </c>
      <c r="D237" s="64" t="s">
        <v>28</v>
      </c>
    </row>
    <row r="238" spans="1:4" ht="33.6" x14ac:dyDescent="0.35">
      <c r="A238" s="24">
        <v>10</v>
      </c>
      <c r="B238" s="27" t="s">
        <v>672</v>
      </c>
      <c r="C238" s="24" t="s">
        <v>849</v>
      </c>
      <c r="D238" s="64" t="s">
        <v>28</v>
      </c>
    </row>
    <row r="239" spans="1:4" x14ac:dyDescent="0.35">
      <c r="A239" s="24">
        <v>11</v>
      </c>
      <c r="B239" s="27" t="s">
        <v>674</v>
      </c>
      <c r="C239" s="24">
        <v>2025</v>
      </c>
      <c r="D239" s="64" t="s">
        <v>28</v>
      </c>
    </row>
    <row r="240" spans="1:4" ht="33.6" x14ac:dyDescent="0.35">
      <c r="A240" s="24">
        <v>12</v>
      </c>
      <c r="B240" s="27" t="s">
        <v>675</v>
      </c>
      <c r="C240" s="24" t="s">
        <v>28</v>
      </c>
      <c r="D240" s="64" t="s">
        <v>28</v>
      </c>
    </row>
    <row r="241" spans="1:4" x14ac:dyDescent="0.35">
      <c r="A241" s="26" t="s">
        <v>6</v>
      </c>
      <c r="B241" s="130" t="s">
        <v>676</v>
      </c>
      <c r="C241" s="130"/>
      <c r="D241" s="64"/>
    </row>
    <row r="242" spans="1:4" x14ac:dyDescent="0.35">
      <c r="A242" s="24">
        <v>1</v>
      </c>
      <c r="B242" s="27" t="s">
        <v>806</v>
      </c>
      <c r="C242" s="24" t="s">
        <v>807</v>
      </c>
      <c r="D242" s="64" t="s">
        <v>28</v>
      </c>
    </row>
    <row r="243" spans="1:4" ht="33.6" x14ac:dyDescent="0.35">
      <c r="A243" s="24">
        <v>2</v>
      </c>
      <c r="B243" s="27" t="s">
        <v>692</v>
      </c>
      <c r="C243" s="24" t="s">
        <v>808</v>
      </c>
      <c r="D243" s="64" t="s">
        <v>28</v>
      </c>
    </row>
    <row r="244" spans="1:4" x14ac:dyDescent="0.35">
      <c r="A244" s="24">
        <v>3</v>
      </c>
      <c r="B244" s="27" t="s">
        <v>809</v>
      </c>
      <c r="C244" s="24" t="s">
        <v>810</v>
      </c>
      <c r="D244" s="64" t="s">
        <v>28</v>
      </c>
    </row>
    <row r="245" spans="1:4" x14ac:dyDescent="0.35">
      <c r="A245" s="24">
        <v>4</v>
      </c>
      <c r="B245" s="27" t="s">
        <v>811</v>
      </c>
      <c r="C245" s="24"/>
      <c r="D245" s="64" t="s">
        <v>28</v>
      </c>
    </row>
    <row r="246" spans="1:4" ht="50.4" x14ac:dyDescent="0.35">
      <c r="A246" s="24" t="s">
        <v>220</v>
      </c>
      <c r="B246" s="27" t="s">
        <v>812</v>
      </c>
      <c r="C246" s="24" t="s">
        <v>703</v>
      </c>
      <c r="D246" s="64" t="s">
        <v>28</v>
      </c>
    </row>
    <row r="247" spans="1:4" ht="67.2" x14ac:dyDescent="0.35">
      <c r="A247" s="24" t="s">
        <v>221</v>
      </c>
      <c r="B247" s="27" t="s">
        <v>813</v>
      </c>
      <c r="C247" s="24" t="s">
        <v>703</v>
      </c>
      <c r="D247" s="64" t="s">
        <v>28</v>
      </c>
    </row>
    <row r="248" spans="1:4" x14ac:dyDescent="0.35">
      <c r="A248" s="24">
        <v>5</v>
      </c>
      <c r="B248" s="27" t="s">
        <v>814</v>
      </c>
      <c r="C248" s="24" t="s">
        <v>815</v>
      </c>
      <c r="D248" s="64" t="s">
        <v>28</v>
      </c>
    </row>
    <row r="249" spans="1:4" x14ac:dyDescent="0.35">
      <c r="A249" s="24">
        <v>6</v>
      </c>
      <c r="B249" s="27" t="s">
        <v>725</v>
      </c>
      <c r="C249" s="24" t="s">
        <v>816</v>
      </c>
      <c r="D249" s="64" t="s">
        <v>28</v>
      </c>
    </row>
    <row r="250" spans="1:4" x14ac:dyDescent="0.35">
      <c r="A250" s="24"/>
      <c r="B250" s="27"/>
      <c r="C250" s="129" t="s">
        <v>817</v>
      </c>
      <c r="D250" s="64" t="s">
        <v>28</v>
      </c>
    </row>
    <row r="251" spans="1:4" x14ac:dyDescent="0.35">
      <c r="A251" s="68"/>
      <c r="B251" s="69"/>
      <c r="C251" s="129"/>
      <c r="D251" s="64" t="s">
        <v>28</v>
      </c>
    </row>
    <row r="252" spans="1:4" x14ac:dyDescent="0.35">
      <c r="A252" s="24">
        <v>7</v>
      </c>
      <c r="B252" s="27" t="s">
        <v>818</v>
      </c>
      <c r="C252" s="129"/>
      <c r="D252" s="64" t="s">
        <v>28</v>
      </c>
    </row>
    <row r="253" spans="1:4" x14ac:dyDescent="0.35">
      <c r="A253" s="24">
        <v>8</v>
      </c>
      <c r="B253" s="27" t="s">
        <v>819</v>
      </c>
      <c r="C253" s="24" t="s">
        <v>820</v>
      </c>
      <c r="D253" s="64" t="s">
        <v>28</v>
      </c>
    </row>
    <row r="254" spans="1:4" x14ac:dyDescent="0.35">
      <c r="A254" s="129">
        <v>9</v>
      </c>
      <c r="B254" s="128" t="s">
        <v>821</v>
      </c>
      <c r="C254" s="24" t="s">
        <v>822</v>
      </c>
      <c r="D254" s="64" t="s">
        <v>28</v>
      </c>
    </row>
    <row r="255" spans="1:4" x14ac:dyDescent="0.35">
      <c r="A255" s="129"/>
      <c r="B255" s="128"/>
      <c r="C255" s="24" t="s">
        <v>823</v>
      </c>
      <c r="D255" s="64" t="s">
        <v>28</v>
      </c>
    </row>
    <row r="256" spans="1:4" x14ac:dyDescent="0.35">
      <c r="A256" s="129">
        <v>10</v>
      </c>
      <c r="B256" s="128" t="s">
        <v>49</v>
      </c>
      <c r="C256" s="24" t="s">
        <v>752</v>
      </c>
      <c r="D256" s="64" t="s">
        <v>28</v>
      </c>
    </row>
    <row r="257" spans="1:4" x14ac:dyDescent="0.35">
      <c r="A257" s="129"/>
      <c r="B257" s="128"/>
      <c r="C257" s="24" t="s">
        <v>753</v>
      </c>
      <c r="D257" s="64" t="s">
        <v>28</v>
      </c>
    </row>
    <row r="258" spans="1:4" x14ac:dyDescent="0.35">
      <c r="A258" s="129">
        <v>11</v>
      </c>
      <c r="B258" s="128" t="s">
        <v>746</v>
      </c>
      <c r="C258" s="24" t="s">
        <v>701</v>
      </c>
      <c r="D258" s="64" t="s">
        <v>28</v>
      </c>
    </row>
    <row r="259" spans="1:4" x14ac:dyDescent="0.35">
      <c r="A259" s="129"/>
      <c r="B259" s="128"/>
      <c r="C259" s="24" t="s">
        <v>702</v>
      </c>
      <c r="D259" s="64" t="s">
        <v>28</v>
      </c>
    </row>
    <row r="260" spans="1:4" x14ac:dyDescent="0.35">
      <c r="A260" s="26" t="s">
        <v>217</v>
      </c>
      <c r="B260" s="138" t="s">
        <v>824</v>
      </c>
      <c r="C260" s="138"/>
      <c r="D260" s="26"/>
    </row>
    <row r="261" spans="1:4" x14ac:dyDescent="0.35">
      <c r="A261" s="26" t="s">
        <v>4</v>
      </c>
      <c r="B261" s="130" t="s">
        <v>363</v>
      </c>
      <c r="C261" s="130"/>
      <c r="D261" s="64"/>
    </row>
    <row r="262" spans="1:4" ht="18" x14ac:dyDescent="0.35">
      <c r="A262" s="24">
        <v>1</v>
      </c>
      <c r="B262" s="27" t="s">
        <v>661</v>
      </c>
      <c r="C262" s="24" t="s">
        <v>662</v>
      </c>
      <c r="D262" s="105" t="s">
        <v>1472</v>
      </c>
    </row>
    <row r="263" spans="1:4" ht="18" x14ac:dyDescent="0.35">
      <c r="A263" s="24">
        <v>2</v>
      </c>
      <c r="B263" s="27" t="s">
        <v>32</v>
      </c>
      <c r="C263" s="24" t="s">
        <v>662</v>
      </c>
      <c r="D263" s="103" t="s">
        <v>1508</v>
      </c>
    </row>
    <row r="264" spans="1:4" ht="18" x14ac:dyDescent="0.35">
      <c r="A264" s="24">
        <v>3</v>
      </c>
      <c r="B264" s="27" t="s">
        <v>33</v>
      </c>
      <c r="C264" s="24" t="s">
        <v>662</v>
      </c>
      <c r="D264" s="103" t="s">
        <v>1499</v>
      </c>
    </row>
    <row r="265" spans="1:4" x14ac:dyDescent="0.35">
      <c r="A265" s="24">
        <v>4</v>
      </c>
      <c r="B265" s="27" t="s">
        <v>663</v>
      </c>
      <c r="C265" s="24" t="s">
        <v>664</v>
      </c>
      <c r="D265" s="64" t="s">
        <v>28</v>
      </c>
    </row>
    <row r="266" spans="1:4" x14ac:dyDescent="0.35">
      <c r="A266" s="24">
        <v>5</v>
      </c>
      <c r="B266" s="27" t="s">
        <v>665</v>
      </c>
      <c r="C266" s="24" t="s">
        <v>666</v>
      </c>
      <c r="D266" s="64" t="s">
        <v>28</v>
      </c>
    </row>
    <row r="267" spans="1:4" ht="33.6" x14ac:dyDescent="0.35">
      <c r="A267" s="24">
        <v>6</v>
      </c>
      <c r="B267" s="27" t="s">
        <v>667</v>
      </c>
      <c r="C267" s="24" t="s">
        <v>39</v>
      </c>
      <c r="D267" s="64" t="s">
        <v>28</v>
      </c>
    </row>
    <row r="268" spans="1:4" ht="33.6" x14ac:dyDescent="0.35">
      <c r="A268" s="24">
        <v>7</v>
      </c>
      <c r="B268" s="27" t="s">
        <v>34</v>
      </c>
      <c r="C268" s="24" t="s">
        <v>41</v>
      </c>
      <c r="D268" s="64" t="s">
        <v>28</v>
      </c>
    </row>
    <row r="269" spans="1:4" x14ac:dyDescent="0.35">
      <c r="A269" s="24">
        <v>8</v>
      </c>
      <c r="B269" s="27" t="s">
        <v>670</v>
      </c>
      <c r="C269" s="24" t="s">
        <v>671</v>
      </c>
      <c r="D269" s="64" t="s">
        <v>28</v>
      </c>
    </row>
    <row r="270" spans="1:4" ht="33.6" x14ac:dyDescent="0.35">
      <c r="A270" s="24">
        <v>9</v>
      </c>
      <c r="B270" s="27" t="s">
        <v>672</v>
      </c>
      <c r="C270" s="24" t="s">
        <v>849</v>
      </c>
      <c r="D270" s="64" t="s">
        <v>28</v>
      </c>
    </row>
    <row r="271" spans="1:4" ht="50.4" x14ac:dyDescent="0.35">
      <c r="A271" s="24">
        <v>10</v>
      </c>
      <c r="B271" s="27" t="s">
        <v>674</v>
      </c>
      <c r="C271" s="24" t="s">
        <v>708</v>
      </c>
      <c r="D271" s="64" t="s">
        <v>28</v>
      </c>
    </row>
    <row r="272" spans="1:4" x14ac:dyDescent="0.35">
      <c r="A272" s="26" t="s">
        <v>6</v>
      </c>
      <c r="B272" s="130" t="s">
        <v>676</v>
      </c>
      <c r="C272" s="130"/>
      <c r="D272" s="64"/>
    </row>
    <row r="273" spans="1:4" x14ac:dyDescent="0.35">
      <c r="A273" s="24">
        <v>1</v>
      </c>
      <c r="B273" s="27" t="s">
        <v>440</v>
      </c>
      <c r="C273" s="24" t="s">
        <v>825</v>
      </c>
      <c r="D273" s="64" t="s">
        <v>28</v>
      </c>
    </row>
    <row r="274" spans="1:4" x14ac:dyDescent="0.35">
      <c r="A274" s="24">
        <v>2</v>
      </c>
      <c r="B274" s="27" t="s">
        <v>826</v>
      </c>
      <c r="C274" s="24" t="s">
        <v>827</v>
      </c>
      <c r="D274" s="64" t="s">
        <v>28</v>
      </c>
    </row>
    <row r="275" spans="1:4" x14ac:dyDescent="0.35">
      <c r="A275" s="24">
        <v>3</v>
      </c>
      <c r="B275" s="27" t="s">
        <v>828</v>
      </c>
      <c r="C275" s="24" t="s">
        <v>829</v>
      </c>
      <c r="D275" s="64" t="s">
        <v>28</v>
      </c>
    </row>
    <row r="276" spans="1:4" x14ac:dyDescent="0.35">
      <c r="A276" s="24">
        <v>4</v>
      </c>
      <c r="B276" s="27" t="s">
        <v>226</v>
      </c>
      <c r="C276" s="24" t="s">
        <v>830</v>
      </c>
      <c r="D276" s="64" t="s">
        <v>28</v>
      </c>
    </row>
    <row r="277" spans="1:4" x14ac:dyDescent="0.35">
      <c r="A277" s="24">
        <v>5</v>
      </c>
      <c r="B277" s="27" t="s">
        <v>831</v>
      </c>
      <c r="C277" s="24" t="s">
        <v>39</v>
      </c>
      <c r="D277" s="64" t="s">
        <v>28</v>
      </c>
    </row>
    <row r="278" spans="1:4" x14ac:dyDescent="0.35">
      <c r="A278" s="24">
        <v>6</v>
      </c>
      <c r="B278" s="27" t="s">
        <v>38</v>
      </c>
      <c r="C278" s="24" t="s">
        <v>832</v>
      </c>
      <c r="D278" s="64" t="s">
        <v>28</v>
      </c>
    </row>
    <row r="279" spans="1:4" x14ac:dyDescent="0.35">
      <c r="A279" s="129">
        <v>7</v>
      </c>
      <c r="B279" s="128" t="s">
        <v>49</v>
      </c>
      <c r="C279" s="24" t="s">
        <v>752</v>
      </c>
      <c r="D279" s="64" t="s">
        <v>28</v>
      </c>
    </row>
    <row r="280" spans="1:4" x14ac:dyDescent="0.35">
      <c r="A280" s="129"/>
      <c r="B280" s="128"/>
      <c r="C280" s="24" t="s">
        <v>833</v>
      </c>
      <c r="D280" s="64" t="s">
        <v>28</v>
      </c>
    </row>
    <row r="281" spans="1:4" x14ac:dyDescent="0.35">
      <c r="A281" s="129">
        <v>8</v>
      </c>
      <c r="B281" s="128" t="s">
        <v>700</v>
      </c>
      <c r="C281" s="24" t="s">
        <v>701</v>
      </c>
      <c r="D281" s="64" t="s">
        <v>28</v>
      </c>
    </row>
    <row r="282" spans="1:4" x14ac:dyDescent="0.35">
      <c r="A282" s="129"/>
      <c r="B282" s="128"/>
      <c r="C282" s="24" t="s">
        <v>702</v>
      </c>
      <c r="D282" s="64" t="s">
        <v>28</v>
      </c>
    </row>
    <row r="283" spans="1:4" x14ac:dyDescent="0.35">
      <c r="A283" s="26" t="s">
        <v>218</v>
      </c>
      <c r="B283" s="138" t="s">
        <v>834</v>
      </c>
      <c r="C283" s="138"/>
      <c r="D283" s="26"/>
    </row>
    <row r="284" spans="1:4" x14ac:dyDescent="0.35">
      <c r="A284" s="26" t="s">
        <v>4</v>
      </c>
      <c r="B284" s="130" t="s">
        <v>363</v>
      </c>
      <c r="C284" s="130"/>
      <c r="D284" s="64"/>
    </row>
    <row r="285" spans="1:4" ht="18" x14ac:dyDescent="0.35">
      <c r="A285" s="24">
        <v>1</v>
      </c>
      <c r="B285" s="27" t="s">
        <v>661</v>
      </c>
      <c r="C285" s="24" t="s">
        <v>662</v>
      </c>
      <c r="D285" s="103" t="s">
        <v>1509</v>
      </c>
    </row>
    <row r="286" spans="1:4" ht="18" x14ac:dyDescent="0.35">
      <c r="A286" s="24">
        <v>2</v>
      </c>
      <c r="B286" s="27" t="s">
        <v>32</v>
      </c>
      <c r="C286" s="24" t="s">
        <v>662</v>
      </c>
      <c r="D286" s="103" t="s">
        <v>1510</v>
      </c>
    </row>
    <row r="287" spans="1:4" ht="18" x14ac:dyDescent="0.35">
      <c r="A287" s="24">
        <v>3</v>
      </c>
      <c r="B287" s="27" t="s">
        <v>33</v>
      </c>
      <c r="C287" s="24" t="s">
        <v>662</v>
      </c>
      <c r="D287" s="103" t="s">
        <v>1506</v>
      </c>
    </row>
    <row r="288" spans="1:4" x14ac:dyDescent="0.35">
      <c r="A288" s="24">
        <v>4</v>
      </c>
      <c r="B288" s="27" t="s">
        <v>663</v>
      </c>
      <c r="C288" s="24" t="s">
        <v>664</v>
      </c>
      <c r="D288" s="64" t="s">
        <v>28</v>
      </c>
    </row>
    <row r="289" spans="1:4" x14ac:dyDescent="0.35">
      <c r="A289" s="24">
        <v>5</v>
      </c>
      <c r="B289" s="27" t="s">
        <v>665</v>
      </c>
      <c r="C289" s="24" t="s">
        <v>666</v>
      </c>
      <c r="D289" s="64" t="s">
        <v>28</v>
      </c>
    </row>
    <row r="290" spans="1:4" ht="33.6" x14ac:dyDescent="0.35">
      <c r="A290" s="24">
        <v>6</v>
      </c>
      <c r="B290" s="27" t="s">
        <v>667</v>
      </c>
      <c r="C290" s="24" t="s">
        <v>39</v>
      </c>
      <c r="D290" s="64" t="s">
        <v>28</v>
      </c>
    </row>
    <row r="291" spans="1:4" x14ac:dyDescent="0.35">
      <c r="A291" s="24">
        <v>7</v>
      </c>
      <c r="B291" s="27" t="s">
        <v>670</v>
      </c>
      <c r="C291" s="24" t="s">
        <v>671</v>
      </c>
      <c r="D291" s="64" t="s">
        <v>28</v>
      </c>
    </row>
    <row r="292" spans="1:4" ht="33.6" x14ac:dyDescent="0.35">
      <c r="A292" s="24">
        <v>8</v>
      </c>
      <c r="B292" s="27" t="s">
        <v>672</v>
      </c>
      <c r="C292" s="24" t="s">
        <v>849</v>
      </c>
      <c r="D292" s="64" t="s">
        <v>28</v>
      </c>
    </row>
    <row r="293" spans="1:4" x14ac:dyDescent="0.35">
      <c r="A293" s="24">
        <v>9</v>
      </c>
      <c r="B293" s="27" t="s">
        <v>674</v>
      </c>
      <c r="C293" s="24">
        <v>2025</v>
      </c>
      <c r="D293" s="64" t="s">
        <v>28</v>
      </c>
    </row>
    <row r="294" spans="1:4" x14ac:dyDescent="0.35">
      <c r="A294" s="26" t="s">
        <v>6</v>
      </c>
      <c r="B294" s="130" t="s">
        <v>676</v>
      </c>
      <c r="C294" s="130"/>
      <c r="D294" s="64"/>
    </row>
    <row r="295" spans="1:4" ht="33.6" x14ac:dyDescent="0.35">
      <c r="A295" s="129">
        <v>1</v>
      </c>
      <c r="B295" s="128" t="s">
        <v>835</v>
      </c>
      <c r="C295" s="25" t="s">
        <v>836</v>
      </c>
      <c r="D295" s="64" t="s">
        <v>28</v>
      </c>
    </row>
    <row r="296" spans="1:4" ht="134.4" x14ac:dyDescent="0.35">
      <c r="A296" s="129"/>
      <c r="B296" s="128"/>
      <c r="C296" s="25" t="s">
        <v>837</v>
      </c>
      <c r="D296" s="64" t="s">
        <v>28</v>
      </c>
    </row>
    <row r="297" spans="1:4" ht="67.2" x14ac:dyDescent="0.35">
      <c r="A297" s="129" t="s">
        <v>838</v>
      </c>
      <c r="B297" s="128" t="s">
        <v>73</v>
      </c>
      <c r="C297" s="25" t="s">
        <v>839</v>
      </c>
      <c r="D297" s="64" t="s">
        <v>28</v>
      </c>
    </row>
    <row r="298" spans="1:4" ht="33.6" x14ac:dyDescent="0.35">
      <c r="A298" s="129"/>
      <c r="B298" s="128"/>
      <c r="C298" s="33" t="s">
        <v>840</v>
      </c>
      <c r="D298" s="64" t="s">
        <v>28</v>
      </c>
    </row>
    <row r="299" spans="1:4" ht="84" x14ac:dyDescent="0.35">
      <c r="A299" s="129"/>
      <c r="B299" s="128"/>
      <c r="C299" s="25" t="s">
        <v>841</v>
      </c>
      <c r="D299" s="64" t="s">
        <v>28</v>
      </c>
    </row>
    <row r="300" spans="1:4" x14ac:dyDescent="0.35">
      <c r="A300" s="26" t="s">
        <v>219</v>
      </c>
      <c r="B300" s="138" t="s">
        <v>842</v>
      </c>
      <c r="C300" s="138"/>
      <c r="D300" s="26"/>
    </row>
    <row r="301" spans="1:4" x14ac:dyDescent="0.35">
      <c r="A301" s="26" t="s">
        <v>4</v>
      </c>
      <c r="B301" s="130" t="s">
        <v>363</v>
      </c>
      <c r="C301" s="130"/>
      <c r="D301" s="64"/>
    </row>
    <row r="302" spans="1:4" x14ac:dyDescent="0.35">
      <c r="A302" s="24">
        <v>1</v>
      </c>
      <c r="B302" s="27" t="s">
        <v>661</v>
      </c>
      <c r="C302" s="24" t="s">
        <v>662</v>
      </c>
      <c r="D302" s="104" t="s">
        <v>1511</v>
      </c>
    </row>
    <row r="303" spans="1:4" x14ac:dyDescent="0.35">
      <c r="A303" s="24">
        <v>2</v>
      </c>
      <c r="B303" s="27" t="s">
        <v>32</v>
      </c>
      <c r="C303" s="24" t="s">
        <v>662</v>
      </c>
      <c r="D303" s="104" t="s">
        <v>1570</v>
      </c>
    </row>
    <row r="304" spans="1:4" x14ac:dyDescent="0.35">
      <c r="A304" s="24">
        <v>3</v>
      </c>
      <c r="B304" s="27" t="s">
        <v>33</v>
      </c>
      <c r="C304" s="24" t="s">
        <v>662</v>
      </c>
      <c r="D304" s="104" t="s">
        <v>1499</v>
      </c>
    </row>
    <row r="305" spans="1:4" x14ac:dyDescent="0.35">
      <c r="A305" s="24">
        <v>4</v>
      </c>
      <c r="B305" s="27" t="s">
        <v>663</v>
      </c>
      <c r="C305" s="24" t="s">
        <v>664</v>
      </c>
      <c r="D305" s="64" t="s">
        <v>28</v>
      </c>
    </row>
    <row r="306" spans="1:4" x14ac:dyDescent="0.35">
      <c r="A306" s="24">
        <v>5</v>
      </c>
      <c r="B306" s="27" t="s">
        <v>665</v>
      </c>
      <c r="C306" s="24" t="s">
        <v>666</v>
      </c>
      <c r="D306" s="64" t="s">
        <v>28</v>
      </c>
    </row>
    <row r="307" spans="1:4" ht="33.6" x14ac:dyDescent="0.35">
      <c r="A307" s="24">
        <v>6</v>
      </c>
      <c r="B307" s="27" t="s">
        <v>667</v>
      </c>
      <c r="C307" s="24" t="s">
        <v>39</v>
      </c>
      <c r="D307" s="64" t="s">
        <v>28</v>
      </c>
    </row>
    <row r="308" spans="1:4" x14ac:dyDescent="0.35">
      <c r="A308" s="24">
        <v>7</v>
      </c>
      <c r="B308" s="27" t="s">
        <v>668</v>
      </c>
      <c r="C308" s="24" t="s">
        <v>669</v>
      </c>
      <c r="D308" s="64" t="s">
        <v>28</v>
      </c>
    </row>
    <row r="309" spans="1:4" ht="33.6" x14ac:dyDescent="0.35">
      <c r="A309" s="24">
        <v>8</v>
      </c>
      <c r="B309" s="27" t="s">
        <v>34</v>
      </c>
      <c r="C309" s="24" t="s">
        <v>41</v>
      </c>
      <c r="D309" s="64" t="s">
        <v>28</v>
      </c>
    </row>
    <row r="310" spans="1:4" x14ac:dyDescent="0.35">
      <c r="A310" s="24">
        <v>9</v>
      </c>
      <c r="B310" s="27" t="s">
        <v>670</v>
      </c>
      <c r="C310" s="24" t="s">
        <v>671</v>
      </c>
      <c r="D310" s="64" t="s">
        <v>28</v>
      </c>
    </row>
    <row r="311" spans="1:4" ht="33.6" x14ac:dyDescent="0.35">
      <c r="A311" s="24">
        <v>10</v>
      </c>
      <c r="B311" s="27" t="s">
        <v>672</v>
      </c>
      <c r="C311" s="24" t="s">
        <v>849</v>
      </c>
      <c r="D311" s="64" t="s">
        <v>28</v>
      </c>
    </row>
    <row r="312" spans="1:4" x14ac:dyDescent="0.35">
      <c r="A312" s="24">
        <v>11</v>
      </c>
      <c r="B312" s="27" t="s">
        <v>674</v>
      </c>
      <c r="C312" s="24">
        <v>2025</v>
      </c>
      <c r="D312" s="64" t="s">
        <v>28</v>
      </c>
    </row>
    <row r="313" spans="1:4" x14ac:dyDescent="0.35">
      <c r="A313" s="26" t="s">
        <v>6</v>
      </c>
      <c r="B313" s="75" t="s">
        <v>676</v>
      </c>
      <c r="C313" s="24"/>
      <c r="D313" s="64" t="s">
        <v>28</v>
      </c>
    </row>
    <row r="314" spans="1:4" x14ac:dyDescent="0.35">
      <c r="A314" s="24">
        <v>1</v>
      </c>
      <c r="B314" s="27" t="s">
        <v>843</v>
      </c>
      <c r="C314" s="24" t="s">
        <v>844</v>
      </c>
      <c r="D314" s="64" t="s">
        <v>28</v>
      </c>
    </row>
    <row r="315" spans="1:4" x14ac:dyDescent="0.35">
      <c r="A315" s="24">
        <v>2</v>
      </c>
      <c r="B315" s="27" t="s">
        <v>684</v>
      </c>
      <c r="C315" s="24" t="s">
        <v>401</v>
      </c>
      <c r="D315" s="64" t="s">
        <v>28</v>
      </c>
    </row>
    <row r="316" spans="1:4" x14ac:dyDescent="0.35">
      <c r="A316" s="129">
        <v>3</v>
      </c>
      <c r="B316" s="128" t="s">
        <v>74</v>
      </c>
      <c r="C316" s="24" t="s">
        <v>845</v>
      </c>
      <c r="D316" s="64" t="s">
        <v>28</v>
      </c>
    </row>
    <row r="317" spans="1:4" x14ac:dyDescent="0.35">
      <c r="A317" s="129"/>
      <c r="B317" s="128"/>
      <c r="C317" s="24" t="s">
        <v>846</v>
      </c>
      <c r="D317" s="64" t="s">
        <v>28</v>
      </c>
    </row>
  </sheetData>
  <mergeCells count="96">
    <mergeCell ref="B301:C301"/>
    <mergeCell ref="A316:A317"/>
    <mergeCell ref="B316:B317"/>
    <mergeCell ref="B124:B126"/>
    <mergeCell ref="A124:A126"/>
    <mergeCell ref="B294:C294"/>
    <mergeCell ref="A295:A296"/>
    <mergeCell ref="B295:B296"/>
    <mergeCell ref="A297:A299"/>
    <mergeCell ref="B297:B299"/>
    <mergeCell ref="B300:C300"/>
    <mergeCell ref="A279:A280"/>
    <mergeCell ref="B279:B280"/>
    <mergeCell ref="A281:A282"/>
    <mergeCell ref="B281:B282"/>
    <mergeCell ref="B283:C283"/>
    <mergeCell ref="A254:A255"/>
    <mergeCell ref="B254:B255"/>
    <mergeCell ref="B284:C284"/>
    <mergeCell ref="A256:A257"/>
    <mergeCell ref="B256:B257"/>
    <mergeCell ref="A258:A259"/>
    <mergeCell ref="B258:B259"/>
    <mergeCell ref="B260:C260"/>
    <mergeCell ref="B272:C272"/>
    <mergeCell ref="B261:C261"/>
    <mergeCell ref="B222:B223"/>
    <mergeCell ref="B227:C227"/>
    <mergeCell ref="B228:C228"/>
    <mergeCell ref="B241:C241"/>
    <mergeCell ref="C250:C252"/>
    <mergeCell ref="A188:A189"/>
    <mergeCell ref="B188:B189"/>
    <mergeCell ref="A190:A191"/>
    <mergeCell ref="B190:B191"/>
    <mergeCell ref="A224:A226"/>
    <mergeCell ref="B224:B226"/>
    <mergeCell ref="A195:A196"/>
    <mergeCell ref="B195:B196"/>
    <mergeCell ref="A197:A198"/>
    <mergeCell ref="B197:B198"/>
    <mergeCell ref="B199:C199"/>
    <mergeCell ref="B200:C200"/>
    <mergeCell ref="B210:C210"/>
    <mergeCell ref="A220:A221"/>
    <mergeCell ref="B220:B221"/>
    <mergeCell ref="A222:A223"/>
    <mergeCell ref="A167:A168"/>
    <mergeCell ref="B167:B168"/>
    <mergeCell ref="A175:A176"/>
    <mergeCell ref="B175:B176"/>
    <mergeCell ref="A179:A180"/>
    <mergeCell ref="B179:B180"/>
    <mergeCell ref="B133:C133"/>
    <mergeCell ref="B134:C134"/>
    <mergeCell ref="A151:A152"/>
    <mergeCell ref="B151:B152"/>
    <mergeCell ref="A165:A166"/>
    <mergeCell ref="B165:B166"/>
    <mergeCell ref="B102:C102"/>
    <mergeCell ref="B114:C114"/>
    <mergeCell ref="A118:A123"/>
    <mergeCell ref="B118:B123"/>
    <mergeCell ref="A131:A132"/>
    <mergeCell ref="B131:B132"/>
    <mergeCell ref="A95:A96"/>
    <mergeCell ref="B95:B96"/>
    <mergeCell ref="A97:A98"/>
    <mergeCell ref="B97:B98"/>
    <mergeCell ref="B101:C101"/>
    <mergeCell ref="D2:D3"/>
    <mergeCell ref="B4:C4"/>
    <mergeCell ref="B18:C18"/>
    <mergeCell ref="A30:A31"/>
    <mergeCell ref="B30:B31"/>
    <mergeCell ref="A32:A33"/>
    <mergeCell ref="B32:B33"/>
    <mergeCell ref="A2:A3"/>
    <mergeCell ref="B2:C2"/>
    <mergeCell ref="B36:C36"/>
    <mergeCell ref="B37:C37"/>
    <mergeCell ref="A177:A178"/>
    <mergeCell ref="B177:B178"/>
    <mergeCell ref="A153:A154"/>
    <mergeCell ref="B153:B154"/>
    <mergeCell ref="A161:A162"/>
    <mergeCell ref="B161:B162"/>
    <mergeCell ref="B50:C50"/>
    <mergeCell ref="A63:A64"/>
    <mergeCell ref="B63:B64"/>
    <mergeCell ref="A65:A66"/>
    <mergeCell ref="A129:A130"/>
    <mergeCell ref="B129:B130"/>
    <mergeCell ref="B65:B66"/>
    <mergeCell ref="B69:C69"/>
    <mergeCell ref="B70:C70"/>
  </mergeCells>
  <pageMargins left="0.70866141732283472" right="0.11811023622047245" top="0.55118110236220474" bottom="0.55118110236220474"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70"/>
  <sheetViews>
    <sheetView view="pageBreakPreview" zoomScaleNormal="100" zoomScaleSheetLayoutView="100" workbookViewId="0">
      <selection activeCell="G764" sqref="G764"/>
    </sheetView>
  </sheetViews>
  <sheetFormatPr defaultColWidth="9.109375" defaultRowHeight="17.399999999999999" x14ac:dyDescent="0.35"/>
  <cols>
    <col min="1" max="1" width="6.6640625" style="5" customWidth="1"/>
    <col min="2" max="2" width="31.88671875" style="5" customWidth="1"/>
    <col min="3" max="3" width="32.88671875" style="5" customWidth="1"/>
    <col min="4" max="4" width="17.6640625" style="122" bestFit="1" customWidth="1"/>
    <col min="5" max="16384" width="9.109375" style="5"/>
  </cols>
  <sheetData>
    <row r="1" spans="1:4" s="3" customFormat="1" ht="16.8" x14ac:dyDescent="0.3">
      <c r="A1" s="8" t="s">
        <v>16</v>
      </c>
      <c r="B1" s="3" t="s">
        <v>852</v>
      </c>
      <c r="D1" s="107"/>
    </row>
    <row r="2" spans="1:4" s="3" customFormat="1" ht="16.8" x14ac:dyDescent="0.3">
      <c r="A2" s="8" t="s">
        <v>220</v>
      </c>
      <c r="B2" s="3" t="s">
        <v>868</v>
      </c>
      <c r="D2" s="107"/>
    </row>
    <row r="3" spans="1:4" ht="17.399999999999999" customHeight="1" x14ac:dyDescent="0.35">
      <c r="A3" s="138" t="s">
        <v>0</v>
      </c>
      <c r="B3" s="138" t="s">
        <v>659</v>
      </c>
      <c r="C3" s="138"/>
      <c r="D3" s="138" t="s">
        <v>3</v>
      </c>
    </row>
    <row r="4" spans="1:4" x14ac:dyDescent="0.35">
      <c r="A4" s="145"/>
      <c r="B4" s="49" t="s">
        <v>12</v>
      </c>
      <c r="C4" s="49" t="s">
        <v>225</v>
      </c>
      <c r="D4" s="145"/>
    </row>
    <row r="5" spans="1:4" x14ac:dyDescent="0.35">
      <c r="A5" s="70" t="s">
        <v>870</v>
      </c>
      <c r="B5" s="141" t="s">
        <v>869</v>
      </c>
      <c r="C5" s="142"/>
      <c r="D5" s="49"/>
    </row>
    <row r="6" spans="1:4" x14ac:dyDescent="0.35">
      <c r="A6" s="26" t="s">
        <v>4</v>
      </c>
      <c r="B6" s="132" t="s">
        <v>363</v>
      </c>
      <c r="C6" s="132"/>
      <c r="D6" s="26"/>
    </row>
    <row r="7" spans="1:4" x14ac:dyDescent="0.35">
      <c r="A7" s="24">
        <v>1</v>
      </c>
      <c r="B7" s="25" t="s">
        <v>661</v>
      </c>
      <c r="C7" s="25" t="s">
        <v>662</v>
      </c>
      <c r="D7" s="24" t="s">
        <v>1520</v>
      </c>
    </row>
    <row r="8" spans="1:4" x14ac:dyDescent="0.35">
      <c r="A8" s="24">
        <v>2</v>
      </c>
      <c r="B8" s="25" t="s">
        <v>32</v>
      </c>
      <c r="C8" s="25" t="s">
        <v>662</v>
      </c>
      <c r="D8" s="24" t="s">
        <v>1572</v>
      </c>
    </row>
    <row r="9" spans="1:4" x14ac:dyDescent="0.35">
      <c r="A9" s="24">
        <v>3</v>
      </c>
      <c r="B9" s="25" t="s">
        <v>33</v>
      </c>
      <c r="C9" s="25" t="s">
        <v>662</v>
      </c>
      <c r="D9" s="24" t="s">
        <v>1573</v>
      </c>
    </row>
    <row r="10" spans="1:4" x14ac:dyDescent="0.35">
      <c r="A10" s="24">
        <v>4</v>
      </c>
      <c r="B10" s="25" t="s">
        <v>663</v>
      </c>
      <c r="C10" s="25" t="s">
        <v>664</v>
      </c>
      <c r="D10" s="24" t="s">
        <v>28</v>
      </c>
    </row>
    <row r="11" spans="1:4" x14ac:dyDescent="0.35">
      <c r="A11" s="24">
        <v>5</v>
      </c>
      <c r="B11" s="25" t="s">
        <v>665</v>
      </c>
      <c r="C11" s="25" t="s">
        <v>666</v>
      </c>
      <c r="D11" s="24" t="s">
        <v>28</v>
      </c>
    </row>
    <row r="12" spans="1:4" ht="33.6" x14ac:dyDescent="0.35">
      <c r="A12" s="24">
        <v>6</v>
      </c>
      <c r="B12" s="25" t="s">
        <v>667</v>
      </c>
      <c r="C12" s="25" t="s">
        <v>39</v>
      </c>
      <c r="D12" s="24" t="s">
        <v>28</v>
      </c>
    </row>
    <row r="13" spans="1:4" ht="33.6" x14ac:dyDescent="0.35">
      <c r="A13" s="24">
        <v>7</v>
      </c>
      <c r="B13" s="25" t="s">
        <v>668</v>
      </c>
      <c r="C13" s="25" t="s">
        <v>669</v>
      </c>
      <c r="D13" s="24" t="s">
        <v>28</v>
      </c>
    </row>
    <row r="14" spans="1:4" ht="33.6" x14ac:dyDescent="0.35">
      <c r="A14" s="24">
        <v>8</v>
      </c>
      <c r="B14" s="25" t="s">
        <v>34</v>
      </c>
      <c r="C14" s="25" t="s">
        <v>41</v>
      </c>
      <c r="D14" s="24" t="s">
        <v>28</v>
      </c>
    </row>
    <row r="15" spans="1:4" x14ac:dyDescent="0.35">
      <c r="A15" s="24">
        <v>9</v>
      </c>
      <c r="B15" s="25" t="s">
        <v>670</v>
      </c>
      <c r="C15" s="25" t="s">
        <v>671</v>
      </c>
      <c r="D15" s="24" t="s">
        <v>28</v>
      </c>
    </row>
    <row r="16" spans="1:4" ht="33.6" x14ac:dyDescent="0.35">
      <c r="A16" s="24">
        <v>10</v>
      </c>
      <c r="B16" s="25" t="s">
        <v>672</v>
      </c>
      <c r="C16" s="25" t="s">
        <v>849</v>
      </c>
      <c r="D16" s="24" t="s">
        <v>28</v>
      </c>
    </row>
    <row r="17" spans="1:4" ht="50.4" x14ac:dyDescent="0.35">
      <c r="A17" s="24">
        <v>12</v>
      </c>
      <c r="B17" s="25" t="s">
        <v>674</v>
      </c>
      <c r="C17" s="25" t="s">
        <v>708</v>
      </c>
      <c r="D17" s="24" t="s">
        <v>28</v>
      </c>
    </row>
    <row r="18" spans="1:4" x14ac:dyDescent="0.35">
      <c r="A18" s="26" t="s">
        <v>6</v>
      </c>
      <c r="B18" s="132" t="s">
        <v>676</v>
      </c>
      <c r="C18" s="132"/>
      <c r="D18" s="26"/>
    </row>
    <row r="19" spans="1:4" ht="50.4" x14ac:dyDescent="0.35">
      <c r="A19" s="24">
        <v>1</v>
      </c>
      <c r="B19" s="25" t="s">
        <v>863</v>
      </c>
      <c r="C19" s="25" t="s">
        <v>871</v>
      </c>
      <c r="D19" s="24" t="s">
        <v>28</v>
      </c>
    </row>
    <row r="20" spans="1:4" x14ac:dyDescent="0.35">
      <c r="A20" s="24">
        <v>2</v>
      </c>
      <c r="B20" s="25" t="s">
        <v>864</v>
      </c>
      <c r="C20" s="25" t="s">
        <v>872</v>
      </c>
      <c r="D20" s="24" t="s">
        <v>28</v>
      </c>
    </row>
    <row r="21" spans="1:4" x14ac:dyDescent="0.35">
      <c r="A21" s="24">
        <v>3</v>
      </c>
      <c r="B21" s="25" t="s">
        <v>865</v>
      </c>
      <c r="C21" s="25" t="s">
        <v>866</v>
      </c>
      <c r="D21" s="24" t="s">
        <v>28</v>
      </c>
    </row>
    <row r="22" spans="1:4" ht="33.6" x14ac:dyDescent="0.35">
      <c r="A22" s="129">
        <v>4</v>
      </c>
      <c r="B22" s="128" t="s">
        <v>873</v>
      </c>
      <c r="C22" s="30" t="s">
        <v>880</v>
      </c>
      <c r="D22" s="24" t="s">
        <v>28</v>
      </c>
    </row>
    <row r="23" spans="1:4" x14ac:dyDescent="0.35">
      <c r="A23" s="129"/>
      <c r="B23" s="128"/>
      <c r="C23" s="30" t="s">
        <v>881</v>
      </c>
      <c r="D23" s="24" t="s">
        <v>28</v>
      </c>
    </row>
    <row r="24" spans="1:4" ht="50.4" x14ac:dyDescent="0.35">
      <c r="A24" s="129"/>
      <c r="B24" s="128"/>
      <c r="C24" s="30" t="s">
        <v>882</v>
      </c>
      <c r="D24" s="24" t="s">
        <v>28</v>
      </c>
    </row>
    <row r="25" spans="1:4" ht="50.4" x14ac:dyDescent="0.35">
      <c r="A25" s="129">
        <v>5</v>
      </c>
      <c r="B25" s="128" t="s">
        <v>874</v>
      </c>
      <c r="C25" s="48" t="s">
        <v>883</v>
      </c>
      <c r="D25" s="24" t="s">
        <v>28</v>
      </c>
    </row>
    <row r="26" spans="1:4" ht="33.6" x14ac:dyDescent="0.35">
      <c r="A26" s="129"/>
      <c r="B26" s="128"/>
      <c r="C26" s="48" t="s">
        <v>884</v>
      </c>
      <c r="D26" s="24" t="s">
        <v>28</v>
      </c>
    </row>
    <row r="27" spans="1:4" ht="33.6" x14ac:dyDescent="0.35">
      <c r="A27" s="129"/>
      <c r="B27" s="128"/>
      <c r="C27" s="48" t="s">
        <v>885</v>
      </c>
      <c r="D27" s="24" t="s">
        <v>28</v>
      </c>
    </row>
    <row r="28" spans="1:4" x14ac:dyDescent="0.35">
      <c r="A28" s="129"/>
      <c r="B28" s="128"/>
      <c r="C28" s="48" t="s">
        <v>886</v>
      </c>
      <c r="D28" s="24" t="s">
        <v>28</v>
      </c>
    </row>
    <row r="29" spans="1:4" ht="33.6" x14ac:dyDescent="0.35">
      <c r="A29" s="129"/>
      <c r="B29" s="128"/>
      <c r="C29" s="48" t="s">
        <v>887</v>
      </c>
      <c r="D29" s="24" t="s">
        <v>28</v>
      </c>
    </row>
    <row r="30" spans="1:4" ht="100.8" x14ac:dyDescent="0.35">
      <c r="A30" s="129"/>
      <c r="B30" s="128"/>
      <c r="C30" s="48" t="s">
        <v>888</v>
      </c>
      <c r="D30" s="24" t="s">
        <v>28</v>
      </c>
    </row>
    <row r="31" spans="1:4" ht="50.4" x14ac:dyDescent="0.35">
      <c r="A31" s="129">
        <v>6</v>
      </c>
      <c r="B31" s="128" t="s">
        <v>867</v>
      </c>
      <c r="C31" s="48" t="s">
        <v>889</v>
      </c>
      <c r="D31" s="24" t="s">
        <v>28</v>
      </c>
    </row>
    <row r="32" spans="1:4" ht="50.4" x14ac:dyDescent="0.35">
      <c r="A32" s="129"/>
      <c r="B32" s="128"/>
      <c r="C32" s="48" t="s">
        <v>890</v>
      </c>
      <c r="D32" s="24" t="s">
        <v>28</v>
      </c>
    </row>
    <row r="33" spans="1:4" ht="50.4" x14ac:dyDescent="0.35">
      <c r="A33" s="129"/>
      <c r="B33" s="128"/>
      <c r="C33" s="30" t="s">
        <v>891</v>
      </c>
      <c r="D33" s="24" t="s">
        <v>28</v>
      </c>
    </row>
    <row r="34" spans="1:4" ht="33.6" x14ac:dyDescent="0.35">
      <c r="A34" s="129"/>
      <c r="B34" s="128"/>
      <c r="C34" s="30" t="s">
        <v>892</v>
      </c>
      <c r="D34" s="24" t="s">
        <v>28</v>
      </c>
    </row>
    <row r="35" spans="1:4" ht="33.6" x14ac:dyDescent="0.35">
      <c r="A35" s="129"/>
      <c r="B35" s="128"/>
      <c r="C35" s="30" t="s">
        <v>893</v>
      </c>
      <c r="D35" s="24" t="s">
        <v>28</v>
      </c>
    </row>
    <row r="36" spans="1:4" ht="33.6" x14ac:dyDescent="0.35">
      <c r="A36" s="129"/>
      <c r="B36" s="128"/>
      <c r="C36" s="34" t="s">
        <v>894</v>
      </c>
      <c r="D36" s="24" t="s">
        <v>28</v>
      </c>
    </row>
    <row r="37" spans="1:4" ht="33.6" x14ac:dyDescent="0.35">
      <c r="A37" s="129"/>
      <c r="B37" s="128"/>
      <c r="C37" s="34" t="s">
        <v>895</v>
      </c>
      <c r="D37" s="24" t="s">
        <v>28</v>
      </c>
    </row>
    <row r="38" spans="1:4" x14ac:dyDescent="0.35">
      <c r="A38" s="129"/>
      <c r="B38" s="128"/>
      <c r="C38" s="48" t="s">
        <v>896</v>
      </c>
      <c r="D38" s="24" t="s">
        <v>28</v>
      </c>
    </row>
    <row r="39" spans="1:4" ht="33.6" x14ac:dyDescent="0.35">
      <c r="A39" s="24">
        <v>7</v>
      </c>
      <c r="B39" s="25" t="s">
        <v>49</v>
      </c>
      <c r="C39" s="25" t="s">
        <v>878</v>
      </c>
      <c r="D39" s="24" t="s">
        <v>28</v>
      </c>
    </row>
    <row r="40" spans="1:4" ht="50.4" x14ac:dyDescent="0.35">
      <c r="A40" s="24">
        <v>8</v>
      </c>
      <c r="B40" s="25" t="s">
        <v>875</v>
      </c>
      <c r="C40" s="25" t="s">
        <v>879</v>
      </c>
      <c r="D40" s="24" t="s">
        <v>28</v>
      </c>
    </row>
    <row r="41" spans="1:4" ht="33.6" x14ac:dyDescent="0.35">
      <c r="A41" s="24">
        <v>9</v>
      </c>
      <c r="B41" s="25" t="s">
        <v>876</v>
      </c>
      <c r="C41" s="25" t="s">
        <v>877</v>
      </c>
      <c r="D41" s="24" t="s">
        <v>28</v>
      </c>
    </row>
    <row r="42" spans="1:4" x14ac:dyDescent="0.35">
      <c r="A42" s="26" t="s">
        <v>897</v>
      </c>
      <c r="B42" s="138" t="s">
        <v>898</v>
      </c>
      <c r="C42" s="138"/>
      <c r="D42" s="108"/>
    </row>
    <row r="43" spans="1:4" s="71" customFormat="1" x14ac:dyDescent="0.35">
      <c r="A43" s="26" t="s">
        <v>4</v>
      </c>
      <c r="B43" s="130" t="s">
        <v>363</v>
      </c>
      <c r="C43" s="130"/>
      <c r="D43" s="109"/>
    </row>
    <row r="44" spans="1:4" ht="33.6" x14ac:dyDescent="0.35">
      <c r="A44" s="24">
        <v>1</v>
      </c>
      <c r="B44" s="25" t="s">
        <v>661</v>
      </c>
      <c r="C44" s="24" t="s">
        <v>662</v>
      </c>
      <c r="D44" s="24" t="s">
        <v>1522</v>
      </c>
    </row>
    <row r="45" spans="1:4" x14ac:dyDescent="0.35">
      <c r="A45" s="24">
        <v>2</v>
      </c>
      <c r="B45" s="25" t="s">
        <v>32</v>
      </c>
      <c r="C45" s="24" t="s">
        <v>662</v>
      </c>
      <c r="D45" s="24" t="s">
        <v>1523</v>
      </c>
    </row>
    <row r="46" spans="1:4" x14ac:dyDescent="0.35">
      <c r="A46" s="24">
        <v>3</v>
      </c>
      <c r="B46" s="25" t="s">
        <v>33</v>
      </c>
      <c r="C46" s="24" t="s">
        <v>662</v>
      </c>
      <c r="D46" s="24" t="s">
        <v>1573</v>
      </c>
    </row>
    <row r="47" spans="1:4" x14ac:dyDescent="0.35">
      <c r="A47" s="24">
        <v>4</v>
      </c>
      <c r="B47" s="25" t="s">
        <v>663</v>
      </c>
      <c r="C47" s="24" t="s">
        <v>664</v>
      </c>
      <c r="D47" s="24" t="s">
        <v>39</v>
      </c>
    </row>
    <row r="48" spans="1:4" x14ac:dyDescent="0.35">
      <c r="A48" s="24">
        <v>5</v>
      </c>
      <c r="B48" s="25" t="s">
        <v>665</v>
      </c>
      <c r="C48" s="24" t="s">
        <v>666</v>
      </c>
      <c r="D48" s="24" t="s">
        <v>28</v>
      </c>
    </row>
    <row r="49" spans="1:4" ht="33.6" x14ac:dyDescent="0.35">
      <c r="A49" s="24">
        <v>6</v>
      </c>
      <c r="B49" s="25" t="s">
        <v>667</v>
      </c>
      <c r="C49" s="24" t="s">
        <v>39</v>
      </c>
      <c r="D49" s="24" t="s">
        <v>28</v>
      </c>
    </row>
    <row r="50" spans="1:4" ht="33.6" x14ac:dyDescent="0.35">
      <c r="A50" s="24">
        <v>7</v>
      </c>
      <c r="B50" s="25" t="s">
        <v>668</v>
      </c>
      <c r="C50" s="24" t="s">
        <v>669</v>
      </c>
      <c r="D50" s="24" t="s">
        <v>28</v>
      </c>
    </row>
    <row r="51" spans="1:4" ht="33.6" x14ac:dyDescent="0.35">
      <c r="A51" s="24">
        <v>8</v>
      </c>
      <c r="B51" s="25" t="s">
        <v>34</v>
      </c>
      <c r="C51" s="24" t="s">
        <v>41</v>
      </c>
      <c r="D51" s="24" t="s">
        <v>28</v>
      </c>
    </row>
    <row r="52" spans="1:4" x14ac:dyDescent="0.35">
      <c r="A52" s="24">
        <v>9</v>
      </c>
      <c r="B52" s="25" t="s">
        <v>670</v>
      </c>
      <c r="C52" s="24" t="s">
        <v>671</v>
      </c>
      <c r="D52" s="24" t="s">
        <v>28</v>
      </c>
    </row>
    <row r="53" spans="1:4" ht="33.6" x14ac:dyDescent="0.35">
      <c r="A53" s="24">
        <v>10</v>
      </c>
      <c r="B53" s="25" t="s">
        <v>672</v>
      </c>
      <c r="C53" s="24" t="s">
        <v>849</v>
      </c>
      <c r="D53" s="24" t="s">
        <v>28</v>
      </c>
    </row>
    <row r="54" spans="1:4" ht="50.4" x14ac:dyDescent="0.35">
      <c r="A54" s="24">
        <v>11</v>
      </c>
      <c r="B54" s="25" t="s">
        <v>674</v>
      </c>
      <c r="C54" s="24" t="s">
        <v>708</v>
      </c>
      <c r="D54" s="24" t="s">
        <v>1524</v>
      </c>
    </row>
    <row r="55" spans="1:4" s="71" customFormat="1" x14ac:dyDescent="0.35">
      <c r="A55" s="26" t="s">
        <v>6</v>
      </c>
      <c r="B55" s="130" t="s">
        <v>676</v>
      </c>
      <c r="C55" s="130"/>
      <c r="D55" s="109"/>
    </row>
    <row r="56" spans="1:4" ht="33.6" x14ac:dyDescent="0.35">
      <c r="A56" s="24">
        <v>1</v>
      </c>
      <c r="B56" s="27" t="s">
        <v>855</v>
      </c>
      <c r="C56" s="24" t="s">
        <v>899</v>
      </c>
      <c r="D56" s="24" t="s">
        <v>28</v>
      </c>
    </row>
    <row r="57" spans="1:4" ht="50.4" x14ac:dyDescent="0.35">
      <c r="A57" s="24">
        <v>2</v>
      </c>
      <c r="B57" s="27" t="s">
        <v>692</v>
      </c>
      <c r="C57" s="24" t="s">
        <v>900</v>
      </c>
      <c r="D57" s="24" t="s">
        <v>28</v>
      </c>
    </row>
    <row r="58" spans="1:4" x14ac:dyDescent="0.35">
      <c r="A58" s="24">
        <v>3</v>
      </c>
      <c r="B58" s="27" t="s">
        <v>858</v>
      </c>
      <c r="C58" s="24" t="s">
        <v>859</v>
      </c>
      <c r="D58" s="24" t="s">
        <v>28</v>
      </c>
    </row>
    <row r="59" spans="1:4" x14ac:dyDescent="0.35">
      <c r="A59" s="24">
        <v>4</v>
      </c>
      <c r="B59" s="27" t="s">
        <v>901</v>
      </c>
      <c r="C59" s="24" t="s">
        <v>902</v>
      </c>
      <c r="D59" s="24" t="s">
        <v>28</v>
      </c>
    </row>
    <row r="60" spans="1:4" ht="33.6" x14ac:dyDescent="0.35">
      <c r="A60" s="24">
        <v>5</v>
      </c>
      <c r="B60" s="27" t="s">
        <v>860</v>
      </c>
      <c r="C60" s="24" t="s">
        <v>859</v>
      </c>
      <c r="D60" s="24" t="s">
        <v>28</v>
      </c>
    </row>
    <row r="61" spans="1:4" x14ac:dyDescent="0.35">
      <c r="A61" s="134">
        <v>6</v>
      </c>
      <c r="B61" s="134" t="s">
        <v>49</v>
      </c>
      <c r="C61" s="24" t="s">
        <v>752</v>
      </c>
      <c r="D61" s="24" t="s">
        <v>28</v>
      </c>
    </row>
    <row r="62" spans="1:4" x14ac:dyDescent="0.35">
      <c r="A62" s="135"/>
      <c r="B62" s="135"/>
      <c r="C62" s="24" t="s">
        <v>905</v>
      </c>
      <c r="D62" s="24" t="s">
        <v>28</v>
      </c>
    </row>
    <row r="63" spans="1:4" ht="33.6" x14ac:dyDescent="0.35">
      <c r="A63" s="24">
        <v>7</v>
      </c>
      <c r="B63" s="27" t="s">
        <v>876</v>
      </c>
      <c r="C63" s="24" t="s">
        <v>877</v>
      </c>
      <c r="D63" s="24" t="s">
        <v>28</v>
      </c>
    </row>
    <row r="64" spans="1:4" x14ac:dyDescent="0.35">
      <c r="A64" s="26" t="s">
        <v>903</v>
      </c>
      <c r="B64" s="138" t="s">
        <v>853</v>
      </c>
      <c r="C64" s="138"/>
      <c r="D64" s="108"/>
    </row>
    <row r="65" spans="1:4" x14ac:dyDescent="0.35">
      <c r="A65" s="26" t="s">
        <v>4</v>
      </c>
      <c r="B65" s="130" t="s">
        <v>363</v>
      </c>
      <c r="C65" s="130"/>
      <c r="D65" s="108"/>
    </row>
    <row r="66" spans="1:4" x14ac:dyDescent="0.35">
      <c r="A66" s="24">
        <v>1</v>
      </c>
      <c r="B66" s="27" t="s">
        <v>661</v>
      </c>
      <c r="C66" s="24" t="s">
        <v>662</v>
      </c>
      <c r="D66" s="24" t="s">
        <v>1525</v>
      </c>
    </row>
    <row r="67" spans="1:4" x14ac:dyDescent="0.35">
      <c r="A67" s="24">
        <v>2</v>
      </c>
      <c r="B67" s="27" t="s">
        <v>32</v>
      </c>
      <c r="C67" s="24" t="s">
        <v>662</v>
      </c>
      <c r="D67" s="24" t="s">
        <v>1523</v>
      </c>
    </row>
    <row r="68" spans="1:4" x14ac:dyDescent="0.35">
      <c r="A68" s="24">
        <v>3</v>
      </c>
      <c r="B68" s="27" t="s">
        <v>33</v>
      </c>
      <c r="C68" s="24" t="s">
        <v>662</v>
      </c>
      <c r="D68" s="24" t="s">
        <v>1526</v>
      </c>
    </row>
    <row r="69" spans="1:4" x14ac:dyDescent="0.35">
      <c r="A69" s="24">
        <v>4</v>
      </c>
      <c r="B69" s="27" t="s">
        <v>663</v>
      </c>
      <c r="C69" s="24" t="s">
        <v>664</v>
      </c>
      <c r="D69" s="24" t="s">
        <v>28</v>
      </c>
    </row>
    <row r="70" spans="1:4" x14ac:dyDescent="0.35">
      <c r="A70" s="24">
        <v>5</v>
      </c>
      <c r="B70" s="27" t="s">
        <v>665</v>
      </c>
      <c r="C70" s="24" t="s">
        <v>666</v>
      </c>
      <c r="D70" s="24" t="s">
        <v>28</v>
      </c>
    </row>
    <row r="71" spans="1:4" ht="33.6" x14ac:dyDescent="0.35">
      <c r="A71" s="24">
        <v>6</v>
      </c>
      <c r="B71" s="27" t="s">
        <v>667</v>
      </c>
      <c r="C71" s="24" t="s">
        <v>39</v>
      </c>
      <c r="D71" s="24" t="s">
        <v>28</v>
      </c>
    </row>
    <row r="72" spans="1:4" ht="33.6" x14ac:dyDescent="0.35">
      <c r="A72" s="24">
        <v>7</v>
      </c>
      <c r="B72" s="27" t="s">
        <v>668</v>
      </c>
      <c r="C72" s="24" t="s">
        <v>669</v>
      </c>
      <c r="D72" s="24" t="s">
        <v>28</v>
      </c>
    </row>
    <row r="73" spans="1:4" ht="33.6" x14ac:dyDescent="0.35">
      <c r="A73" s="24">
        <v>8</v>
      </c>
      <c r="B73" s="27" t="s">
        <v>854</v>
      </c>
      <c r="C73" s="24" t="s">
        <v>41</v>
      </c>
      <c r="D73" s="24" t="s">
        <v>28</v>
      </c>
    </row>
    <row r="74" spans="1:4" x14ac:dyDescent="0.35">
      <c r="A74" s="24">
        <v>9</v>
      </c>
      <c r="B74" s="27" t="s">
        <v>670</v>
      </c>
      <c r="C74" s="24" t="s">
        <v>671</v>
      </c>
      <c r="D74" s="24" t="s">
        <v>28</v>
      </c>
    </row>
    <row r="75" spans="1:4" ht="33.6" x14ac:dyDescent="0.35">
      <c r="A75" s="24">
        <v>10</v>
      </c>
      <c r="B75" s="27" t="s">
        <v>672</v>
      </c>
      <c r="C75" s="24" t="s">
        <v>849</v>
      </c>
      <c r="D75" s="24" t="s">
        <v>28</v>
      </c>
    </row>
    <row r="76" spans="1:4" ht="50.4" x14ac:dyDescent="0.35">
      <c r="A76" s="24">
        <v>11</v>
      </c>
      <c r="B76" s="27" t="s">
        <v>674</v>
      </c>
      <c r="C76" s="24" t="s">
        <v>708</v>
      </c>
      <c r="D76" s="24" t="s">
        <v>28</v>
      </c>
    </row>
    <row r="77" spans="1:4" x14ac:dyDescent="0.35">
      <c r="A77" s="26" t="s">
        <v>6</v>
      </c>
      <c r="B77" s="130" t="s">
        <v>676</v>
      </c>
      <c r="C77" s="130"/>
      <c r="D77" s="110"/>
    </row>
    <row r="78" spans="1:4" x14ac:dyDescent="0.35">
      <c r="A78" s="24">
        <v>1</v>
      </c>
      <c r="B78" s="27" t="s">
        <v>855</v>
      </c>
      <c r="C78" s="24" t="s">
        <v>904</v>
      </c>
      <c r="D78" s="24" t="s">
        <v>28</v>
      </c>
    </row>
    <row r="79" spans="1:4" x14ac:dyDescent="0.35">
      <c r="A79" s="24">
        <v>2</v>
      </c>
      <c r="B79" s="27" t="s">
        <v>692</v>
      </c>
      <c r="C79" s="24" t="s">
        <v>857</v>
      </c>
      <c r="D79" s="24" t="s">
        <v>28</v>
      </c>
    </row>
    <row r="80" spans="1:4" x14ac:dyDescent="0.35">
      <c r="A80" s="24">
        <v>3</v>
      </c>
      <c r="B80" s="27" t="s">
        <v>858</v>
      </c>
      <c r="C80" s="24" t="s">
        <v>859</v>
      </c>
      <c r="D80" s="24" t="s">
        <v>28</v>
      </c>
    </row>
    <row r="81" spans="1:4" ht="33.6" x14ac:dyDescent="0.35">
      <c r="A81" s="24">
        <v>4</v>
      </c>
      <c r="B81" s="27" t="s">
        <v>860</v>
      </c>
      <c r="C81" s="24" t="s">
        <v>859</v>
      </c>
      <c r="D81" s="24" t="s">
        <v>28</v>
      </c>
    </row>
    <row r="82" spans="1:4" x14ac:dyDescent="0.35">
      <c r="A82" s="129">
        <v>5</v>
      </c>
      <c r="B82" s="128" t="s">
        <v>49</v>
      </c>
      <c r="C82" s="24" t="s">
        <v>752</v>
      </c>
      <c r="D82" s="24" t="s">
        <v>28</v>
      </c>
    </row>
    <row r="83" spans="1:4" x14ac:dyDescent="0.35">
      <c r="A83" s="134"/>
      <c r="B83" s="136"/>
      <c r="C83" s="66" t="s">
        <v>906</v>
      </c>
      <c r="D83" s="24" t="s">
        <v>28</v>
      </c>
    </row>
    <row r="84" spans="1:4" x14ac:dyDescent="0.35">
      <c r="A84" s="49" t="s">
        <v>907</v>
      </c>
      <c r="B84" s="145" t="s">
        <v>909</v>
      </c>
      <c r="C84" s="145"/>
      <c r="D84" s="111"/>
    </row>
    <row r="85" spans="1:4" x14ac:dyDescent="0.35">
      <c r="A85" s="26" t="s">
        <v>4</v>
      </c>
      <c r="B85" s="130" t="s">
        <v>363</v>
      </c>
      <c r="C85" s="130"/>
      <c r="D85" s="108"/>
    </row>
    <row r="86" spans="1:4" x14ac:dyDescent="0.35">
      <c r="A86" s="24">
        <v>1</v>
      </c>
      <c r="B86" s="25" t="s">
        <v>661</v>
      </c>
      <c r="C86" s="25" t="s">
        <v>662</v>
      </c>
      <c r="D86" s="112" t="s">
        <v>1527</v>
      </c>
    </row>
    <row r="87" spans="1:4" x14ac:dyDescent="0.35">
      <c r="A87" s="24">
        <v>2</v>
      </c>
      <c r="B87" s="25" t="s">
        <v>32</v>
      </c>
      <c r="C87" s="25" t="s">
        <v>662</v>
      </c>
      <c r="D87" s="94" t="s">
        <v>1523</v>
      </c>
    </row>
    <row r="88" spans="1:4" x14ac:dyDescent="0.35">
      <c r="A88" s="24">
        <v>3</v>
      </c>
      <c r="B88" s="25" t="s">
        <v>33</v>
      </c>
      <c r="C88" s="25" t="s">
        <v>662</v>
      </c>
      <c r="D88" s="94" t="s">
        <v>1528</v>
      </c>
    </row>
    <row r="89" spans="1:4" x14ac:dyDescent="0.35">
      <c r="A89" s="24">
        <v>4</v>
      </c>
      <c r="B89" s="25" t="s">
        <v>663</v>
      </c>
      <c r="C89" s="25" t="s">
        <v>664</v>
      </c>
      <c r="D89" s="94" t="s">
        <v>28</v>
      </c>
    </row>
    <row r="90" spans="1:4" x14ac:dyDescent="0.35">
      <c r="A90" s="24">
        <v>5</v>
      </c>
      <c r="B90" s="25" t="s">
        <v>665</v>
      </c>
      <c r="C90" s="25" t="s">
        <v>666</v>
      </c>
      <c r="D90" s="94" t="s">
        <v>28</v>
      </c>
    </row>
    <row r="91" spans="1:4" ht="33.6" x14ac:dyDescent="0.35">
      <c r="A91" s="24">
        <v>6</v>
      </c>
      <c r="B91" s="25" t="s">
        <v>667</v>
      </c>
      <c r="C91" s="25" t="s">
        <v>39</v>
      </c>
      <c r="D91" s="94" t="s">
        <v>28</v>
      </c>
    </row>
    <row r="92" spans="1:4" ht="33.6" x14ac:dyDescent="0.35">
      <c r="A92" s="24">
        <v>7</v>
      </c>
      <c r="B92" s="25" t="s">
        <v>668</v>
      </c>
      <c r="C92" s="25" t="s">
        <v>669</v>
      </c>
      <c r="D92" s="94" t="s">
        <v>28</v>
      </c>
    </row>
    <row r="93" spans="1:4" ht="33.6" x14ac:dyDescent="0.35">
      <c r="A93" s="24">
        <v>8</v>
      </c>
      <c r="B93" s="25" t="s">
        <v>34</v>
      </c>
      <c r="C93" s="25" t="s">
        <v>41</v>
      </c>
      <c r="D93" s="94" t="s">
        <v>28</v>
      </c>
    </row>
    <row r="94" spans="1:4" x14ac:dyDescent="0.35">
      <c r="A94" s="24">
        <v>9</v>
      </c>
      <c r="B94" s="25" t="s">
        <v>670</v>
      </c>
      <c r="C94" s="25" t="s">
        <v>671</v>
      </c>
      <c r="D94" s="94" t="s">
        <v>28</v>
      </c>
    </row>
    <row r="95" spans="1:4" ht="33.6" x14ac:dyDescent="0.35">
      <c r="A95" s="24">
        <v>10</v>
      </c>
      <c r="B95" s="25" t="s">
        <v>672</v>
      </c>
      <c r="C95" s="25" t="s">
        <v>849</v>
      </c>
      <c r="D95" s="94" t="s">
        <v>28</v>
      </c>
    </row>
    <row r="96" spans="1:4" ht="50.4" x14ac:dyDescent="0.35">
      <c r="A96" s="24">
        <v>11</v>
      </c>
      <c r="B96" s="25" t="s">
        <v>674</v>
      </c>
      <c r="C96" s="25" t="s">
        <v>708</v>
      </c>
      <c r="D96" s="94" t="s">
        <v>1524</v>
      </c>
    </row>
    <row r="97" spans="1:4" x14ac:dyDescent="0.35">
      <c r="A97" s="26" t="s">
        <v>6</v>
      </c>
      <c r="B97" s="130" t="s">
        <v>676</v>
      </c>
      <c r="C97" s="130"/>
      <c r="D97" s="108"/>
    </row>
    <row r="98" spans="1:4" x14ac:dyDescent="0.35">
      <c r="A98" s="24">
        <v>1</v>
      </c>
      <c r="B98" s="25" t="s">
        <v>692</v>
      </c>
      <c r="C98" s="25" t="s">
        <v>857</v>
      </c>
      <c r="D98" s="94" t="s">
        <v>28</v>
      </c>
    </row>
    <row r="99" spans="1:4" x14ac:dyDescent="0.35">
      <c r="A99" s="24">
        <v>2</v>
      </c>
      <c r="B99" s="25" t="s">
        <v>858</v>
      </c>
      <c r="C99" s="25" t="s">
        <v>859</v>
      </c>
      <c r="D99" s="94" t="s">
        <v>28</v>
      </c>
    </row>
    <row r="100" spans="1:4" x14ac:dyDescent="0.35">
      <c r="A100" s="24">
        <v>3</v>
      </c>
      <c r="B100" s="25" t="s">
        <v>861</v>
      </c>
      <c r="C100" s="25" t="s">
        <v>862</v>
      </c>
      <c r="D100" s="94" t="s">
        <v>28</v>
      </c>
    </row>
    <row r="101" spans="1:4" ht="33.6" x14ac:dyDescent="0.35">
      <c r="A101" s="24">
        <v>4</v>
      </c>
      <c r="B101" s="25" t="s">
        <v>49</v>
      </c>
      <c r="C101" s="25" t="s">
        <v>878</v>
      </c>
      <c r="D101" s="94" t="s">
        <v>28</v>
      </c>
    </row>
    <row r="102" spans="1:4" ht="101.4" x14ac:dyDescent="0.35">
      <c r="A102" s="24">
        <v>5</v>
      </c>
      <c r="B102" s="25" t="s">
        <v>910</v>
      </c>
      <c r="C102" s="25" t="s">
        <v>859</v>
      </c>
      <c r="D102" s="113" t="s">
        <v>1529</v>
      </c>
    </row>
    <row r="103" spans="1:4" ht="33.6" x14ac:dyDescent="0.35">
      <c r="A103" s="24">
        <v>6</v>
      </c>
      <c r="B103" s="25" t="s">
        <v>876</v>
      </c>
      <c r="C103" s="25" t="s">
        <v>877</v>
      </c>
      <c r="D103" s="94" t="s">
        <v>28</v>
      </c>
    </row>
    <row r="104" spans="1:4" x14ac:dyDescent="0.35">
      <c r="A104" s="49" t="s">
        <v>911</v>
      </c>
      <c r="B104" s="145" t="s">
        <v>908</v>
      </c>
      <c r="C104" s="145"/>
      <c r="D104" s="111"/>
    </row>
    <row r="105" spans="1:4" x14ac:dyDescent="0.35">
      <c r="A105" s="26" t="s">
        <v>4</v>
      </c>
      <c r="B105" s="130" t="s">
        <v>363</v>
      </c>
      <c r="C105" s="130"/>
      <c r="D105" s="24"/>
    </row>
    <row r="106" spans="1:4" x14ac:dyDescent="0.35">
      <c r="A106" s="24">
        <v>1</v>
      </c>
      <c r="B106" s="25" t="s">
        <v>661</v>
      </c>
      <c r="C106" s="25" t="s">
        <v>662</v>
      </c>
      <c r="D106" s="114" t="s">
        <v>1530</v>
      </c>
    </row>
    <row r="107" spans="1:4" x14ac:dyDescent="0.35">
      <c r="A107" s="24">
        <v>2</v>
      </c>
      <c r="B107" s="25" t="s">
        <v>32</v>
      </c>
      <c r="C107" s="25" t="s">
        <v>662</v>
      </c>
      <c r="D107" s="24" t="s">
        <v>1523</v>
      </c>
    </row>
    <row r="108" spans="1:4" x14ac:dyDescent="0.35">
      <c r="A108" s="24">
        <v>3</v>
      </c>
      <c r="B108" s="25" t="s">
        <v>33</v>
      </c>
      <c r="C108" s="25" t="s">
        <v>662</v>
      </c>
      <c r="D108" s="24" t="s">
        <v>1528</v>
      </c>
    </row>
    <row r="109" spans="1:4" x14ac:dyDescent="0.35">
      <c r="A109" s="24">
        <v>4</v>
      </c>
      <c r="B109" s="25" t="s">
        <v>663</v>
      </c>
      <c r="C109" s="25" t="s">
        <v>664</v>
      </c>
      <c r="D109" s="24" t="s">
        <v>28</v>
      </c>
    </row>
    <row r="110" spans="1:4" x14ac:dyDescent="0.35">
      <c r="A110" s="24">
        <v>5</v>
      </c>
      <c r="B110" s="25" t="s">
        <v>665</v>
      </c>
      <c r="C110" s="25" t="s">
        <v>666</v>
      </c>
      <c r="D110" s="24" t="s">
        <v>28</v>
      </c>
    </row>
    <row r="111" spans="1:4" ht="33.6" x14ac:dyDescent="0.35">
      <c r="A111" s="24">
        <v>6</v>
      </c>
      <c r="B111" s="25" t="s">
        <v>667</v>
      </c>
      <c r="C111" s="25" t="s">
        <v>39</v>
      </c>
      <c r="D111" s="24" t="s">
        <v>28</v>
      </c>
    </row>
    <row r="112" spans="1:4" ht="33.6" x14ac:dyDescent="0.35">
      <c r="A112" s="24">
        <v>7</v>
      </c>
      <c r="B112" s="25" t="s">
        <v>668</v>
      </c>
      <c r="C112" s="25" t="s">
        <v>669</v>
      </c>
      <c r="D112" s="24" t="s">
        <v>28</v>
      </c>
    </row>
    <row r="113" spans="1:4" ht="33.6" x14ac:dyDescent="0.35">
      <c r="A113" s="24">
        <v>8</v>
      </c>
      <c r="B113" s="25" t="s">
        <v>34</v>
      </c>
      <c r="C113" s="25" t="s">
        <v>41</v>
      </c>
      <c r="D113" s="24" t="s">
        <v>28</v>
      </c>
    </row>
    <row r="114" spans="1:4" x14ac:dyDescent="0.35">
      <c r="A114" s="24">
        <v>9</v>
      </c>
      <c r="B114" s="25" t="s">
        <v>670</v>
      </c>
      <c r="C114" s="25" t="s">
        <v>671</v>
      </c>
      <c r="D114" s="24" t="s">
        <v>28</v>
      </c>
    </row>
    <row r="115" spans="1:4" ht="33.6" x14ac:dyDescent="0.35">
      <c r="A115" s="24">
        <v>10</v>
      </c>
      <c r="B115" s="25" t="s">
        <v>672</v>
      </c>
      <c r="C115" s="25" t="s">
        <v>849</v>
      </c>
      <c r="D115" s="24" t="s">
        <v>28</v>
      </c>
    </row>
    <row r="116" spans="1:4" ht="50.4" x14ac:dyDescent="0.35">
      <c r="A116" s="24">
        <v>11</v>
      </c>
      <c r="B116" s="25" t="s">
        <v>674</v>
      </c>
      <c r="C116" s="25" t="s">
        <v>708</v>
      </c>
      <c r="D116" s="24" t="s">
        <v>1524</v>
      </c>
    </row>
    <row r="117" spans="1:4" x14ac:dyDescent="0.35">
      <c r="A117" s="26" t="s">
        <v>6</v>
      </c>
      <c r="B117" s="130" t="s">
        <v>676</v>
      </c>
      <c r="C117" s="130"/>
      <c r="D117" s="24"/>
    </row>
    <row r="118" spans="1:4" x14ac:dyDescent="0.35">
      <c r="A118" s="24">
        <v>1</v>
      </c>
      <c r="B118" s="25" t="s">
        <v>855</v>
      </c>
      <c r="C118" s="25" t="s">
        <v>856</v>
      </c>
      <c r="D118" s="24" t="s">
        <v>28</v>
      </c>
    </row>
    <row r="119" spans="1:4" x14ac:dyDescent="0.35">
      <c r="A119" s="24">
        <v>2</v>
      </c>
      <c r="B119" s="25" t="s">
        <v>692</v>
      </c>
      <c r="C119" s="25" t="s">
        <v>857</v>
      </c>
      <c r="D119" s="24" t="s">
        <v>28</v>
      </c>
    </row>
    <row r="120" spans="1:4" x14ac:dyDescent="0.35">
      <c r="A120" s="24">
        <v>3</v>
      </c>
      <c r="B120" s="25" t="s">
        <v>858</v>
      </c>
      <c r="C120" s="25" t="s">
        <v>859</v>
      </c>
      <c r="D120" s="24" t="s">
        <v>28</v>
      </c>
    </row>
    <row r="121" spans="1:4" ht="33.6" x14ac:dyDescent="0.35">
      <c r="A121" s="24">
        <v>4</v>
      </c>
      <c r="B121" s="25" t="s">
        <v>860</v>
      </c>
      <c r="C121" s="25" t="s">
        <v>859</v>
      </c>
      <c r="D121" s="24" t="s">
        <v>28</v>
      </c>
    </row>
    <row r="122" spans="1:4" ht="33.6" x14ac:dyDescent="0.35">
      <c r="A122" s="24">
        <v>5</v>
      </c>
      <c r="B122" s="25" t="s">
        <v>49</v>
      </c>
      <c r="C122" s="25" t="s">
        <v>878</v>
      </c>
      <c r="D122" s="24" t="s">
        <v>28</v>
      </c>
    </row>
    <row r="123" spans="1:4" ht="33.6" x14ac:dyDescent="0.35">
      <c r="A123" s="24">
        <v>6</v>
      </c>
      <c r="B123" s="25" t="s">
        <v>876</v>
      </c>
      <c r="C123" s="25" t="s">
        <v>877</v>
      </c>
      <c r="D123" s="24" t="s">
        <v>28</v>
      </c>
    </row>
    <row r="124" spans="1:4" x14ac:dyDescent="0.35">
      <c r="A124" s="49" t="s">
        <v>912</v>
      </c>
      <c r="B124" s="145" t="s">
        <v>913</v>
      </c>
      <c r="C124" s="145"/>
      <c r="D124" s="111"/>
    </row>
    <row r="125" spans="1:4" x14ac:dyDescent="0.35">
      <c r="A125" s="26" t="s">
        <v>4</v>
      </c>
      <c r="B125" s="132" t="s">
        <v>363</v>
      </c>
      <c r="C125" s="132"/>
      <c r="D125" s="24"/>
    </row>
    <row r="126" spans="1:4" x14ac:dyDescent="0.35">
      <c r="A126" s="24">
        <v>1</v>
      </c>
      <c r="B126" s="25" t="s">
        <v>661</v>
      </c>
      <c r="C126" s="25" t="s">
        <v>662</v>
      </c>
      <c r="D126" s="24" t="s">
        <v>1531</v>
      </c>
    </row>
    <row r="127" spans="1:4" x14ac:dyDescent="0.35">
      <c r="A127" s="24">
        <v>2</v>
      </c>
      <c r="B127" s="25" t="s">
        <v>32</v>
      </c>
      <c r="C127" s="25" t="s">
        <v>662</v>
      </c>
      <c r="D127" s="24" t="s">
        <v>1523</v>
      </c>
    </row>
    <row r="128" spans="1:4" x14ac:dyDescent="0.35">
      <c r="A128" s="24">
        <v>3</v>
      </c>
      <c r="B128" s="25" t="s">
        <v>33</v>
      </c>
      <c r="C128" s="25" t="s">
        <v>662</v>
      </c>
      <c r="D128" s="24" t="s">
        <v>1528</v>
      </c>
    </row>
    <row r="129" spans="1:4" x14ac:dyDescent="0.35">
      <c r="A129" s="24">
        <v>4</v>
      </c>
      <c r="B129" s="25" t="s">
        <v>663</v>
      </c>
      <c r="C129" s="25" t="s">
        <v>664</v>
      </c>
      <c r="D129" s="24" t="s">
        <v>28</v>
      </c>
    </row>
    <row r="130" spans="1:4" x14ac:dyDescent="0.35">
      <c r="A130" s="24">
        <v>5</v>
      </c>
      <c r="B130" s="25" t="s">
        <v>665</v>
      </c>
      <c r="C130" s="25" t="s">
        <v>666</v>
      </c>
      <c r="D130" s="24" t="s">
        <v>28</v>
      </c>
    </row>
    <row r="131" spans="1:4" ht="33.6" x14ac:dyDescent="0.35">
      <c r="A131" s="24">
        <v>6</v>
      </c>
      <c r="B131" s="25" t="s">
        <v>667</v>
      </c>
      <c r="C131" s="25" t="s">
        <v>39</v>
      </c>
      <c r="D131" s="24" t="s">
        <v>28</v>
      </c>
    </row>
    <row r="132" spans="1:4" ht="33.6" x14ac:dyDescent="0.35">
      <c r="A132" s="24">
        <v>7</v>
      </c>
      <c r="B132" s="25" t="s">
        <v>668</v>
      </c>
      <c r="C132" s="25" t="s">
        <v>669</v>
      </c>
      <c r="D132" s="24" t="s">
        <v>28</v>
      </c>
    </row>
    <row r="133" spans="1:4" ht="33.6" x14ac:dyDescent="0.35">
      <c r="A133" s="24">
        <v>8</v>
      </c>
      <c r="B133" s="25" t="s">
        <v>34</v>
      </c>
      <c r="C133" s="25" t="s">
        <v>41</v>
      </c>
      <c r="D133" s="24" t="s">
        <v>28</v>
      </c>
    </row>
    <row r="134" spans="1:4" x14ac:dyDescent="0.35">
      <c r="A134" s="24">
        <v>9</v>
      </c>
      <c r="B134" s="25" t="s">
        <v>670</v>
      </c>
      <c r="C134" s="25" t="s">
        <v>671</v>
      </c>
      <c r="D134" s="24" t="s">
        <v>28</v>
      </c>
    </row>
    <row r="135" spans="1:4" ht="33.6" x14ac:dyDescent="0.35">
      <c r="A135" s="24">
        <v>10</v>
      </c>
      <c r="B135" s="25" t="s">
        <v>672</v>
      </c>
      <c r="C135" s="25" t="s">
        <v>849</v>
      </c>
      <c r="D135" s="24" t="s">
        <v>28</v>
      </c>
    </row>
    <row r="136" spans="1:4" ht="50.4" x14ac:dyDescent="0.35">
      <c r="A136" s="24">
        <v>11</v>
      </c>
      <c r="B136" s="25" t="s">
        <v>674</v>
      </c>
      <c r="C136" s="25" t="s">
        <v>708</v>
      </c>
      <c r="D136" s="24" t="s">
        <v>28</v>
      </c>
    </row>
    <row r="137" spans="1:4" x14ac:dyDescent="0.35">
      <c r="A137" s="26" t="s">
        <v>6</v>
      </c>
      <c r="B137" s="132" t="s">
        <v>676</v>
      </c>
      <c r="C137" s="132"/>
      <c r="D137" s="24"/>
    </row>
    <row r="138" spans="1:4" x14ac:dyDescent="0.35">
      <c r="A138" s="24">
        <v>1</v>
      </c>
      <c r="B138" s="25" t="s">
        <v>692</v>
      </c>
      <c r="C138" s="25" t="s">
        <v>857</v>
      </c>
      <c r="D138" s="24" t="s">
        <v>28</v>
      </c>
    </row>
    <row r="139" spans="1:4" x14ac:dyDescent="0.35">
      <c r="A139" s="24">
        <v>2</v>
      </c>
      <c r="B139" s="25" t="s">
        <v>858</v>
      </c>
      <c r="C139" s="25" t="s">
        <v>859</v>
      </c>
      <c r="D139" s="24" t="s">
        <v>28</v>
      </c>
    </row>
    <row r="140" spans="1:4" x14ac:dyDescent="0.35">
      <c r="A140" s="24">
        <v>3</v>
      </c>
      <c r="B140" s="25" t="s">
        <v>861</v>
      </c>
      <c r="C140" s="25" t="s">
        <v>862</v>
      </c>
      <c r="D140" s="24" t="s">
        <v>28</v>
      </c>
    </row>
    <row r="141" spans="1:4" ht="33.6" x14ac:dyDescent="0.35">
      <c r="A141" s="24">
        <v>4</v>
      </c>
      <c r="B141" s="25" t="s">
        <v>49</v>
      </c>
      <c r="C141" s="25" t="s">
        <v>917</v>
      </c>
      <c r="D141" s="24" t="s">
        <v>28</v>
      </c>
    </row>
    <row r="142" spans="1:4" ht="33.6" x14ac:dyDescent="0.35">
      <c r="A142" s="24">
        <v>5</v>
      </c>
      <c r="B142" s="25" t="s">
        <v>910</v>
      </c>
      <c r="C142" s="25" t="s">
        <v>859</v>
      </c>
      <c r="D142" s="24" t="s">
        <v>28</v>
      </c>
    </row>
    <row r="143" spans="1:4" x14ac:dyDescent="0.35">
      <c r="A143" s="24">
        <v>6</v>
      </c>
      <c r="B143" s="25" t="s">
        <v>914</v>
      </c>
      <c r="C143" s="25" t="s">
        <v>915</v>
      </c>
      <c r="D143" s="24" t="s">
        <v>28</v>
      </c>
    </row>
    <row r="144" spans="1:4" ht="33.6" x14ac:dyDescent="0.35">
      <c r="A144" s="24">
        <v>7</v>
      </c>
      <c r="B144" s="25" t="s">
        <v>876</v>
      </c>
      <c r="C144" s="25" t="s">
        <v>916</v>
      </c>
      <c r="D144" s="24" t="s">
        <v>28</v>
      </c>
    </row>
    <row r="145" spans="1:4" x14ac:dyDescent="0.35">
      <c r="A145" s="26" t="s">
        <v>918</v>
      </c>
      <c r="B145" s="138" t="s">
        <v>919</v>
      </c>
      <c r="C145" s="138"/>
      <c r="D145" s="108"/>
    </row>
    <row r="146" spans="1:4" x14ac:dyDescent="0.35">
      <c r="A146" s="26" t="s">
        <v>4</v>
      </c>
      <c r="B146" s="132" t="s">
        <v>363</v>
      </c>
      <c r="C146" s="132"/>
      <c r="D146" s="24"/>
    </row>
    <row r="147" spans="1:4" x14ac:dyDescent="0.35">
      <c r="A147" s="24">
        <v>1</v>
      </c>
      <c r="B147" s="25" t="s">
        <v>661</v>
      </c>
      <c r="C147" s="25" t="s">
        <v>662</v>
      </c>
      <c r="D147" s="24" t="s">
        <v>1532</v>
      </c>
    </row>
    <row r="148" spans="1:4" x14ac:dyDescent="0.35">
      <c r="A148" s="24">
        <v>2</v>
      </c>
      <c r="B148" s="25" t="s">
        <v>32</v>
      </c>
      <c r="C148" s="25" t="s">
        <v>662</v>
      </c>
      <c r="D148" s="24" t="s">
        <v>1523</v>
      </c>
    </row>
    <row r="149" spans="1:4" x14ac:dyDescent="0.35">
      <c r="A149" s="24">
        <v>3</v>
      </c>
      <c r="B149" s="25" t="s">
        <v>33</v>
      </c>
      <c r="C149" s="25" t="s">
        <v>662</v>
      </c>
      <c r="D149" s="24" t="s">
        <v>1528</v>
      </c>
    </row>
    <row r="150" spans="1:4" x14ac:dyDescent="0.35">
      <c r="A150" s="24">
        <v>4</v>
      </c>
      <c r="B150" s="25" t="s">
        <v>663</v>
      </c>
      <c r="C150" s="25" t="s">
        <v>664</v>
      </c>
      <c r="D150" s="24" t="s">
        <v>28</v>
      </c>
    </row>
    <row r="151" spans="1:4" x14ac:dyDescent="0.35">
      <c r="A151" s="24">
        <v>5</v>
      </c>
      <c r="B151" s="25" t="s">
        <v>665</v>
      </c>
      <c r="C151" s="25" t="s">
        <v>666</v>
      </c>
      <c r="D151" s="24" t="s">
        <v>28</v>
      </c>
    </row>
    <row r="152" spans="1:4" ht="33.6" x14ac:dyDescent="0.35">
      <c r="A152" s="24">
        <v>6</v>
      </c>
      <c r="B152" s="25" t="s">
        <v>667</v>
      </c>
      <c r="C152" s="25" t="s">
        <v>39</v>
      </c>
      <c r="D152" s="24" t="s">
        <v>28</v>
      </c>
    </row>
    <row r="153" spans="1:4" ht="33.6" x14ac:dyDescent="0.35">
      <c r="A153" s="24">
        <v>7</v>
      </c>
      <c r="B153" s="25" t="s">
        <v>668</v>
      </c>
      <c r="C153" s="25" t="s">
        <v>669</v>
      </c>
      <c r="D153" s="24" t="s">
        <v>28</v>
      </c>
    </row>
    <row r="154" spans="1:4" ht="33.6" x14ac:dyDescent="0.35">
      <c r="A154" s="24">
        <v>8</v>
      </c>
      <c r="B154" s="25" t="s">
        <v>34</v>
      </c>
      <c r="C154" s="25" t="s">
        <v>41</v>
      </c>
      <c r="D154" s="24" t="s">
        <v>28</v>
      </c>
    </row>
    <row r="155" spans="1:4" x14ac:dyDescent="0.35">
      <c r="A155" s="24">
        <v>9</v>
      </c>
      <c r="B155" s="25" t="s">
        <v>670</v>
      </c>
      <c r="C155" s="25" t="s">
        <v>671</v>
      </c>
      <c r="D155" s="24" t="s">
        <v>28</v>
      </c>
    </row>
    <row r="156" spans="1:4" ht="33.6" x14ac:dyDescent="0.35">
      <c r="A156" s="24">
        <v>10</v>
      </c>
      <c r="B156" s="25" t="s">
        <v>672</v>
      </c>
      <c r="C156" s="25" t="s">
        <v>849</v>
      </c>
      <c r="D156" s="24" t="s">
        <v>28</v>
      </c>
    </row>
    <row r="157" spans="1:4" ht="50.4" x14ac:dyDescent="0.35">
      <c r="A157" s="24">
        <v>11</v>
      </c>
      <c r="B157" s="25" t="s">
        <v>674</v>
      </c>
      <c r="C157" s="25" t="s">
        <v>708</v>
      </c>
      <c r="D157" s="24" t="s">
        <v>28</v>
      </c>
    </row>
    <row r="158" spans="1:4" x14ac:dyDescent="0.35">
      <c r="A158" s="26" t="s">
        <v>6</v>
      </c>
      <c r="B158" s="132" t="s">
        <v>676</v>
      </c>
      <c r="C158" s="132"/>
      <c r="D158" s="24"/>
    </row>
    <row r="159" spans="1:4" x14ac:dyDescent="0.35">
      <c r="A159" s="24">
        <v>1</v>
      </c>
      <c r="B159" s="25" t="s">
        <v>855</v>
      </c>
      <c r="C159" s="25" t="s">
        <v>856</v>
      </c>
      <c r="D159" s="24" t="s">
        <v>28</v>
      </c>
    </row>
    <row r="160" spans="1:4" x14ac:dyDescent="0.35">
      <c r="A160" s="24">
        <v>2</v>
      </c>
      <c r="B160" s="25" t="s">
        <v>692</v>
      </c>
      <c r="C160" s="25" t="s">
        <v>857</v>
      </c>
      <c r="D160" s="24" t="s">
        <v>28</v>
      </c>
    </row>
    <row r="161" spans="1:4" x14ac:dyDescent="0.35">
      <c r="A161" s="24">
        <v>3</v>
      </c>
      <c r="B161" s="25" t="s">
        <v>858</v>
      </c>
      <c r="C161" s="25" t="s">
        <v>859</v>
      </c>
      <c r="D161" s="24" t="s">
        <v>28</v>
      </c>
    </row>
    <row r="162" spans="1:4" ht="33.6" x14ac:dyDescent="0.35">
      <c r="A162" s="24">
        <v>4</v>
      </c>
      <c r="B162" s="25" t="s">
        <v>860</v>
      </c>
      <c r="C162" s="25" t="s">
        <v>859</v>
      </c>
      <c r="D162" s="24" t="s">
        <v>28</v>
      </c>
    </row>
    <row r="163" spans="1:4" ht="33.6" x14ac:dyDescent="0.35">
      <c r="A163" s="24">
        <v>5</v>
      </c>
      <c r="B163" s="25" t="s">
        <v>49</v>
      </c>
      <c r="C163" s="25" t="s">
        <v>917</v>
      </c>
      <c r="D163" s="24" t="s">
        <v>28</v>
      </c>
    </row>
    <row r="164" spans="1:4" x14ac:dyDescent="0.35">
      <c r="A164" s="24">
        <v>6</v>
      </c>
      <c r="B164" s="25" t="s">
        <v>914</v>
      </c>
      <c r="C164" s="25" t="s">
        <v>915</v>
      </c>
      <c r="D164" s="24" t="s">
        <v>28</v>
      </c>
    </row>
    <row r="165" spans="1:4" ht="33.6" x14ac:dyDescent="0.35">
      <c r="A165" s="24">
        <v>7</v>
      </c>
      <c r="B165" s="25" t="s">
        <v>876</v>
      </c>
      <c r="C165" s="25" t="s">
        <v>916</v>
      </c>
      <c r="D165" s="24" t="s">
        <v>28</v>
      </c>
    </row>
    <row r="166" spans="1:4" x14ac:dyDescent="0.35">
      <c r="A166" s="49" t="s">
        <v>920</v>
      </c>
      <c r="B166" s="145" t="s">
        <v>921</v>
      </c>
      <c r="C166" s="145"/>
      <c r="D166" s="111"/>
    </row>
    <row r="167" spans="1:4" x14ac:dyDescent="0.35">
      <c r="A167" s="26" t="s">
        <v>4</v>
      </c>
      <c r="B167" s="132" t="s">
        <v>363</v>
      </c>
      <c r="C167" s="132"/>
      <c r="D167" s="24"/>
    </row>
    <row r="168" spans="1:4" x14ac:dyDescent="0.35">
      <c r="A168" s="24">
        <v>1</v>
      </c>
      <c r="B168" s="25" t="s">
        <v>661</v>
      </c>
      <c r="C168" s="25" t="s">
        <v>662</v>
      </c>
      <c r="D168" s="24" t="s">
        <v>1533</v>
      </c>
    </row>
    <row r="169" spans="1:4" x14ac:dyDescent="0.35">
      <c r="A169" s="24">
        <v>2</v>
      </c>
      <c r="B169" s="25" t="s">
        <v>32</v>
      </c>
      <c r="C169" s="25" t="s">
        <v>662</v>
      </c>
      <c r="D169" s="24" t="s">
        <v>1523</v>
      </c>
    </row>
    <row r="170" spans="1:4" x14ac:dyDescent="0.35">
      <c r="A170" s="24">
        <v>3</v>
      </c>
      <c r="B170" s="25" t="s">
        <v>33</v>
      </c>
      <c r="C170" s="25" t="s">
        <v>662</v>
      </c>
      <c r="D170" s="24" t="s">
        <v>1528</v>
      </c>
    </row>
    <row r="171" spans="1:4" x14ac:dyDescent="0.35">
      <c r="A171" s="24">
        <v>4</v>
      </c>
      <c r="B171" s="25" t="s">
        <v>663</v>
      </c>
      <c r="C171" s="25" t="s">
        <v>664</v>
      </c>
      <c r="D171" s="24" t="s">
        <v>28</v>
      </c>
    </row>
    <row r="172" spans="1:4" x14ac:dyDescent="0.35">
      <c r="A172" s="24">
        <v>5</v>
      </c>
      <c r="B172" s="25" t="s">
        <v>665</v>
      </c>
      <c r="C172" s="25" t="s">
        <v>666</v>
      </c>
      <c r="D172" s="24" t="s">
        <v>28</v>
      </c>
    </row>
    <row r="173" spans="1:4" ht="33.6" x14ac:dyDescent="0.35">
      <c r="A173" s="24">
        <v>6</v>
      </c>
      <c r="B173" s="25" t="s">
        <v>667</v>
      </c>
      <c r="C173" s="25" t="s">
        <v>39</v>
      </c>
      <c r="D173" s="24" t="s">
        <v>28</v>
      </c>
    </row>
    <row r="174" spans="1:4" ht="33.6" x14ac:dyDescent="0.35">
      <c r="A174" s="24">
        <v>7</v>
      </c>
      <c r="B174" s="25" t="s">
        <v>668</v>
      </c>
      <c r="C174" s="25" t="s">
        <v>669</v>
      </c>
      <c r="D174" s="24" t="s">
        <v>28</v>
      </c>
    </row>
    <row r="175" spans="1:4" ht="33.6" x14ac:dyDescent="0.35">
      <c r="A175" s="24">
        <v>8</v>
      </c>
      <c r="B175" s="25" t="s">
        <v>34</v>
      </c>
      <c r="C175" s="25" t="s">
        <v>41</v>
      </c>
      <c r="D175" s="24" t="s">
        <v>28</v>
      </c>
    </row>
    <row r="176" spans="1:4" x14ac:dyDescent="0.35">
      <c r="A176" s="24">
        <v>9</v>
      </c>
      <c r="B176" s="25" t="s">
        <v>670</v>
      </c>
      <c r="C176" s="25" t="s">
        <v>671</v>
      </c>
      <c r="D176" s="24" t="s">
        <v>28</v>
      </c>
    </row>
    <row r="177" spans="1:4" ht="33.6" x14ac:dyDescent="0.35">
      <c r="A177" s="24">
        <v>10</v>
      </c>
      <c r="B177" s="25" t="s">
        <v>672</v>
      </c>
      <c r="C177" s="25" t="s">
        <v>849</v>
      </c>
      <c r="D177" s="24" t="s">
        <v>28</v>
      </c>
    </row>
    <row r="178" spans="1:4" ht="50.4" x14ac:dyDescent="0.35">
      <c r="A178" s="24">
        <v>11</v>
      </c>
      <c r="B178" s="25" t="s">
        <v>674</v>
      </c>
      <c r="C178" s="25" t="s">
        <v>708</v>
      </c>
      <c r="D178" s="24" t="s">
        <v>1524</v>
      </c>
    </row>
    <row r="179" spans="1:4" x14ac:dyDescent="0.35">
      <c r="A179" s="26" t="s">
        <v>6</v>
      </c>
      <c r="B179" s="132" t="s">
        <v>676</v>
      </c>
      <c r="C179" s="132"/>
      <c r="D179" s="24"/>
    </row>
    <row r="180" spans="1:4" x14ac:dyDescent="0.35">
      <c r="A180" s="24">
        <v>1</v>
      </c>
      <c r="B180" s="25" t="s">
        <v>855</v>
      </c>
      <c r="C180" s="25" t="s">
        <v>856</v>
      </c>
      <c r="D180" s="24" t="s">
        <v>28</v>
      </c>
    </row>
    <row r="181" spans="1:4" ht="67.2" x14ac:dyDescent="0.35">
      <c r="A181" s="24">
        <v>2</v>
      </c>
      <c r="B181" s="25" t="s">
        <v>692</v>
      </c>
      <c r="C181" s="25" t="s">
        <v>922</v>
      </c>
      <c r="D181" s="24" t="s">
        <v>28</v>
      </c>
    </row>
    <row r="182" spans="1:4" x14ac:dyDescent="0.35">
      <c r="A182" s="24">
        <v>3</v>
      </c>
      <c r="B182" s="25" t="s">
        <v>858</v>
      </c>
      <c r="C182" s="25" t="s">
        <v>859</v>
      </c>
      <c r="D182" s="24" t="s">
        <v>28</v>
      </c>
    </row>
    <row r="183" spans="1:4" ht="33.6" x14ac:dyDescent="0.35">
      <c r="A183" s="24">
        <v>4</v>
      </c>
      <c r="B183" s="25" t="s">
        <v>923</v>
      </c>
      <c r="C183" s="25" t="s">
        <v>859</v>
      </c>
      <c r="D183" s="24" t="s">
        <v>28</v>
      </c>
    </row>
    <row r="184" spans="1:4" x14ac:dyDescent="0.35">
      <c r="A184" s="25"/>
      <c r="B184" s="25" t="s">
        <v>924</v>
      </c>
      <c r="C184" s="25"/>
      <c r="D184" s="24" t="s">
        <v>28</v>
      </c>
    </row>
    <row r="185" spans="1:4" ht="33.6" x14ac:dyDescent="0.35">
      <c r="A185" s="24">
        <v>5</v>
      </c>
      <c r="B185" s="25" t="s">
        <v>49</v>
      </c>
      <c r="C185" s="25" t="s">
        <v>878</v>
      </c>
      <c r="D185" s="24" t="s">
        <v>28</v>
      </c>
    </row>
    <row r="186" spans="1:4" ht="33.6" x14ac:dyDescent="0.35">
      <c r="A186" s="24">
        <v>6</v>
      </c>
      <c r="B186" s="25" t="s">
        <v>876</v>
      </c>
      <c r="C186" s="25" t="s">
        <v>877</v>
      </c>
      <c r="D186" s="24" t="s">
        <v>28</v>
      </c>
    </row>
    <row r="187" spans="1:4" x14ac:dyDescent="0.35">
      <c r="A187" s="26" t="s">
        <v>926</v>
      </c>
      <c r="B187" s="138" t="s">
        <v>925</v>
      </c>
      <c r="C187" s="138"/>
      <c r="D187" s="108"/>
    </row>
    <row r="188" spans="1:4" x14ac:dyDescent="0.35">
      <c r="A188" s="26" t="s">
        <v>4</v>
      </c>
      <c r="B188" s="132" t="s">
        <v>363</v>
      </c>
      <c r="C188" s="132"/>
      <c r="D188" s="24"/>
    </row>
    <row r="189" spans="1:4" x14ac:dyDescent="0.35">
      <c r="A189" s="24">
        <v>1</v>
      </c>
      <c r="B189" s="25" t="s">
        <v>661</v>
      </c>
      <c r="C189" s="25" t="s">
        <v>662</v>
      </c>
      <c r="D189" s="24" t="s">
        <v>1533</v>
      </c>
    </row>
    <row r="190" spans="1:4" x14ac:dyDescent="0.35">
      <c r="A190" s="24">
        <v>2</v>
      </c>
      <c r="B190" s="25" t="s">
        <v>32</v>
      </c>
      <c r="C190" s="25" t="s">
        <v>662</v>
      </c>
      <c r="D190" s="24" t="s">
        <v>1523</v>
      </c>
    </row>
    <row r="191" spans="1:4" x14ac:dyDescent="0.35">
      <c r="A191" s="24">
        <v>3</v>
      </c>
      <c r="B191" s="25" t="s">
        <v>33</v>
      </c>
      <c r="C191" s="25" t="s">
        <v>662</v>
      </c>
      <c r="D191" s="24" t="s">
        <v>1528</v>
      </c>
    </row>
    <row r="192" spans="1:4" x14ac:dyDescent="0.35">
      <c r="A192" s="24">
        <v>4</v>
      </c>
      <c r="B192" s="25" t="s">
        <v>663</v>
      </c>
      <c r="C192" s="25" t="s">
        <v>664</v>
      </c>
      <c r="D192" s="24" t="s">
        <v>28</v>
      </c>
    </row>
    <row r="193" spans="1:4" x14ac:dyDescent="0.35">
      <c r="A193" s="24">
        <v>5</v>
      </c>
      <c r="B193" s="25" t="s">
        <v>665</v>
      </c>
      <c r="C193" s="25" t="s">
        <v>666</v>
      </c>
      <c r="D193" s="24" t="s">
        <v>28</v>
      </c>
    </row>
    <row r="194" spans="1:4" ht="33.6" x14ac:dyDescent="0.35">
      <c r="A194" s="24">
        <v>6</v>
      </c>
      <c r="B194" s="25" t="s">
        <v>667</v>
      </c>
      <c r="C194" s="25" t="s">
        <v>39</v>
      </c>
      <c r="D194" s="24" t="s">
        <v>28</v>
      </c>
    </row>
    <row r="195" spans="1:4" ht="33.6" x14ac:dyDescent="0.35">
      <c r="A195" s="24">
        <v>7</v>
      </c>
      <c r="B195" s="25" t="s">
        <v>668</v>
      </c>
      <c r="C195" s="25" t="s">
        <v>669</v>
      </c>
      <c r="D195" s="24" t="s">
        <v>28</v>
      </c>
    </row>
    <row r="196" spans="1:4" ht="33.6" x14ac:dyDescent="0.35">
      <c r="A196" s="24">
        <v>8</v>
      </c>
      <c r="B196" s="25" t="s">
        <v>34</v>
      </c>
      <c r="C196" s="25" t="s">
        <v>41</v>
      </c>
      <c r="D196" s="24" t="s">
        <v>28</v>
      </c>
    </row>
    <row r="197" spans="1:4" x14ac:dyDescent="0.35">
      <c r="A197" s="24">
        <v>9</v>
      </c>
      <c r="B197" s="25" t="s">
        <v>670</v>
      </c>
      <c r="C197" s="25" t="s">
        <v>671</v>
      </c>
      <c r="D197" s="24" t="s">
        <v>28</v>
      </c>
    </row>
    <row r="198" spans="1:4" ht="33.6" x14ac:dyDescent="0.35">
      <c r="A198" s="24">
        <v>10</v>
      </c>
      <c r="B198" s="25" t="s">
        <v>672</v>
      </c>
      <c r="C198" s="25" t="s">
        <v>849</v>
      </c>
      <c r="D198" s="24" t="s">
        <v>28</v>
      </c>
    </row>
    <row r="199" spans="1:4" ht="50.4" x14ac:dyDescent="0.35">
      <c r="A199" s="24">
        <v>11</v>
      </c>
      <c r="B199" s="25" t="s">
        <v>674</v>
      </c>
      <c r="C199" s="25" t="s">
        <v>708</v>
      </c>
      <c r="D199" s="24" t="s">
        <v>1524</v>
      </c>
    </row>
    <row r="200" spans="1:4" x14ac:dyDescent="0.35">
      <c r="A200" s="26" t="s">
        <v>6</v>
      </c>
      <c r="B200" s="132" t="s">
        <v>676</v>
      </c>
      <c r="C200" s="132"/>
      <c r="D200" s="24"/>
    </row>
    <row r="201" spans="1:4" x14ac:dyDescent="0.35">
      <c r="A201" s="24">
        <v>1</v>
      </c>
      <c r="B201" s="25" t="s">
        <v>855</v>
      </c>
      <c r="C201" s="25" t="s">
        <v>856</v>
      </c>
      <c r="D201" s="24" t="s">
        <v>28</v>
      </c>
    </row>
    <row r="202" spans="1:4" ht="67.2" x14ac:dyDescent="0.35">
      <c r="A202" s="24">
        <v>2</v>
      </c>
      <c r="B202" s="25" t="s">
        <v>692</v>
      </c>
      <c r="C202" s="48" t="s">
        <v>927</v>
      </c>
      <c r="D202" s="24" t="s">
        <v>28</v>
      </c>
    </row>
    <row r="203" spans="1:4" x14ac:dyDescent="0.35">
      <c r="A203" s="24">
        <v>3</v>
      </c>
      <c r="B203" s="25" t="s">
        <v>858</v>
      </c>
      <c r="C203" s="25" t="s">
        <v>859</v>
      </c>
      <c r="D203" s="24" t="s">
        <v>28</v>
      </c>
    </row>
    <row r="204" spans="1:4" ht="33.6" x14ac:dyDescent="0.35">
      <c r="A204" s="24">
        <v>4</v>
      </c>
      <c r="B204" s="25" t="s">
        <v>860</v>
      </c>
      <c r="C204" s="25" t="s">
        <v>859</v>
      </c>
      <c r="D204" s="24" t="s">
        <v>28</v>
      </c>
    </row>
    <row r="205" spans="1:4" ht="33.6" x14ac:dyDescent="0.35">
      <c r="A205" s="24">
        <v>5</v>
      </c>
      <c r="B205" s="25" t="s">
        <v>49</v>
      </c>
      <c r="C205" s="25" t="s">
        <v>917</v>
      </c>
      <c r="D205" s="24" t="s">
        <v>28</v>
      </c>
    </row>
    <row r="206" spans="1:4" ht="33.6" x14ac:dyDescent="0.35">
      <c r="A206" s="24">
        <v>6</v>
      </c>
      <c r="B206" s="25" t="s">
        <v>876</v>
      </c>
      <c r="C206" s="25" t="s">
        <v>877</v>
      </c>
      <c r="D206" s="24" t="s">
        <v>28</v>
      </c>
    </row>
    <row r="207" spans="1:4" ht="33.6" x14ac:dyDescent="0.35">
      <c r="A207" s="26" t="s">
        <v>928</v>
      </c>
      <c r="B207" s="138" t="s">
        <v>929</v>
      </c>
      <c r="C207" s="138"/>
      <c r="D207" s="108"/>
    </row>
    <row r="208" spans="1:4" x14ac:dyDescent="0.35">
      <c r="A208" s="26" t="s">
        <v>4</v>
      </c>
      <c r="B208" s="132" t="s">
        <v>363</v>
      </c>
      <c r="C208" s="132"/>
      <c r="D208" s="24"/>
    </row>
    <row r="209" spans="1:4" x14ac:dyDescent="0.35">
      <c r="A209" s="24">
        <v>1</v>
      </c>
      <c r="B209" s="25" t="s">
        <v>661</v>
      </c>
      <c r="C209" s="25" t="s">
        <v>662</v>
      </c>
      <c r="D209" s="24" t="s">
        <v>1534</v>
      </c>
    </row>
    <row r="210" spans="1:4" x14ac:dyDescent="0.35">
      <c r="A210" s="24">
        <v>2</v>
      </c>
      <c r="B210" s="25" t="s">
        <v>32</v>
      </c>
      <c r="C210" s="25" t="s">
        <v>662</v>
      </c>
      <c r="D210" s="24" t="s">
        <v>1523</v>
      </c>
    </row>
    <row r="211" spans="1:4" x14ac:dyDescent="0.35">
      <c r="A211" s="24">
        <v>3</v>
      </c>
      <c r="B211" s="25" t="s">
        <v>33</v>
      </c>
      <c r="C211" s="25" t="s">
        <v>662</v>
      </c>
      <c r="D211" s="24" t="s">
        <v>1528</v>
      </c>
    </row>
    <row r="212" spans="1:4" x14ac:dyDescent="0.35">
      <c r="A212" s="24">
        <v>4</v>
      </c>
      <c r="B212" s="25" t="s">
        <v>663</v>
      </c>
      <c r="C212" s="25" t="s">
        <v>664</v>
      </c>
      <c r="D212" s="24" t="s">
        <v>28</v>
      </c>
    </row>
    <row r="213" spans="1:4" x14ac:dyDescent="0.35">
      <c r="A213" s="24">
        <v>5</v>
      </c>
      <c r="B213" s="25" t="s">
        <v>665</v>
      </c>
      <c r="C213" s="25" t="s">
        <v>666</v>
      </c>
      <c r="D213" s="24" t="s">
        <v>28</v>
      </c>
    </row>
    <row r="214" spans="1:4" ht="33.6" x14ac:dyDescent="0.35">
      <c r="A214" s="24">
        <v>6</v>
      </c>
      <c r="B214" s="25" t="s">
        <v>667</v>
      </c>
      <c r="C214" s="25" t="s">
        <v>39</v>
      </c>
      <c r="D214" s="24" t="s">
        <v>28</v>
      </c>
    </row>
    <row r="215" spans="1:4" ht="33.6" x14ac:dyDescent="0.35">
      <c r="A215" s="24">
        <v>7</v>
      </c>
      <c r="B215" s="25" t="s">
        <v>668</v>
      </c>
      <c r="C215" s="25" t="s">
        <v>669</v>
      </c>
      <c r="D215" s="24" t="s">
        <v>28</v>
      </c>
    </row>
    <row r="216" spans="1:4" ht="33.6" x14ac:dyDescent="0.35">
      <c r="A216" s="24">
        <v>8</v>
      </c>
      <c r="B216" s="25" t="s">
        <v>34</v>
      </c>
      <c r="C216" s="25" t="s">
        <v>41</v>
      </c>
      <c r="D216" s="24" t="s">
        <v>28</v>
      </c>
    </row>
    <row r="217" spans="1:4" x14ac:dyDescent="0.35">
      <c r="A217" s="24">
        <v>9</v>
      </c>
      <c r="B217" s="25" t="s">
        <v>670</v>
      </c>
      <c r="C217" s="25" t="s">
        <v>671</v>
      </c>
      <c r="D217" s="24" t="s">
        <v>28</v>
      </c>
    </row>
    <row r="218" spans="1:4" ht="33.6" x14ac:dyDescent="0.35">
      <c r="A218" s="24">
        <v>10</v>
      </c>
      <c r="B218" s="25" t="s">
        <v>672</v>
      </c>
      <c r="C218" s="25" t="s">
        <v>849</v>
      </c>
      <c r="D218" s="24" t="s">
        <v>28</v>
      </c>
    </row>
    <row r="219" spans="1:4" ht="50.4" x14ac:dyDescent="0.35">
      <c r="A219" s="24">
        <v>11</v>
      </c>
      <c r="B219" s="25" t="s">
        <v>674</v>
      </c>
      <c r="C219" s="25" t="s">
        <v>708</v>
      </c>
      <c r="D219" s="24" t="s">
        <v>28</v>
      </c>
    </row>
    <row r="220" spans="1:4" x14ac:dyDescent="0.35">
      <c r="A220" s="26" t="s">
        <v>6</v>
      </c>
      <c r="B220" s="132" t="s">
        <v>676</v>
      </c>
      <c r="C220" s="132"/>
      <c r="D220" s="24"/>
    </row>
    <row r="221" spans="1:4" ht="33.6" x14ac:dyDescent="0.35">
      <c r="A221" s="24">
        <v>1</v>
      </c>
      <c r="B221" s="25" t="s">
        <v>855</v>
      </c>
      <c r="C221" s="25" t="s">
        <v>930</v>
      </c>
      <c r="D221" s="24" t="s">
        <v>28</v>
      </c>
    </row>
    <row r="222" spans="1:4" ht="67.2" x14ac:dyDescent="0.35">
      <c r="A222" s="24">
        <v>2</v>
      </c>
      <c r="B222" s="25" t="s">
        <v>692</v>
      </c>
      <c r="C222" s="25" t="s">
        <v>931</v>
      </c>
      <c r="D222" s="24" t="s">
        <v>28</v>
      </c>
    </row>
    <row r="223" spans="1:4" x14ac:dyDescent="0.35">
      <c r="A223" s="24">
        <v>3</v>
      </c>
      <c r="B223" s="25" t="s">
        <v>858</v>
      </c>
      <c r="C223" s="25" t="s">
        <v>859</v>
      </c>
      <c r="D223" s="24" t="s">
        <v>28</v>
      </c>
    </row>
    <row r="224" spans="1:4" ht="33.6" x14ac:dyDescent="0.35">
      <c r="A224" s="24">
        <v>4</v>
      </c>
      <c r="B224" s="25" t="s">
        <v>860</v>
      </c>
      <c r="C224" s="25" t="s">
        <v>859</v>
      </c>
      <c r="D224" s="24" t="s">
        <v>28</v>
      </c>
    </row>
    <row r="225" spans="1:4" ht="33.6" x14ac:dyDescent="0.35">
      <c r="A225" s="24">
        <v>5</v>
      </c>
      <c r="B225" s="25" t="s">
        <v>49</v>
      </c>
      <c r="C225" s="25" t="s">
        <v>878</v>
      </c>
      <c r="D225" s="24" t="s">
        <v>28</v>
      </c>
    </row>
    <row r="226" spans="1:4" ht="33.6" x14ac:dyDescent="0.35">
      <c r="A226" s="24">
        <v>6</v>
      </c>
      <c r="B226" s="25" t="s">
        <v>876</v>
      </c>
      <c r="C226" s="25" t="s">
        <v>877</v>
      </c>
      <c r="D226" s="24" t="s">
        <v>28</v>
      </c>
    </row>
    <row r="227" spans="1:4" ht="33.6" x14ac:dyDescent="0.35">
      <c r="A227" s="49" t="s">
        <v>932</v>
      </c>
      <c r="B227" s="145" t="s">
        <v>933</v>
      </c>
      <c r="C227" s="145"/>
      <c r="D227" s="111"/>
    </row>
    <row r="228" spans="1:4" x14ac:dyDescent="0.35">
      <c r="A228" s="26" t="s">
        <v>4</v>
      </c>
      <c r="B228" s="132" t="s">
        <v>363</v>
      </c>
      <c r="C228" s="132"/>
      <c r="D228" s="24"/>
    </row>
    <row r="229" spans="1:4" x14ac:dyDescent="0.35">
      <c r="A229" s="24">
        <v>1</v>
      </c>
      <c r="B229" s="25" t="s">
        <v>661</v>
      </c>
      <c r="C229" s="25" t="s">
        <v>662</v>
      </c>
      <c r="D229" s="24" t="s">
        <v>1535</v>
      </c>
    </row>
    <row r="230" spans="1:4" x14ac:dyDescent="0.35">
      <c r="A230" s="24">
        <v>2</v>
      </c>
      <c r="B230" s="25" t="s">
        <v>32</v>
      </c>
      <c r="C230" s="25" t="s">
        <v>662</v>
      </c>
      <c r="D230" s="24" t="s">
        <v>1536</v>
      </c>
    </row>
    <row r="231" spans="1:4" x14ac:dyDescent="0.35">
      <c r="A231" s="24">
        <v>3</v>
      </c>
      <c r="B231" s="25" t="s">
        <v>33</v>
      </c>
      <c r="C231" s="25" t="s">
        <v>662</v>
      </c>
      <c r="D231" s="24" t="s">
        <v>1506</v>
      </c>
    </row>
    <row r="232" spans="1:4" x14ac:dyDescent="0.35">
      <c r="A232" s="24">
        <v>4</v>
      </c>
      <c r="B232" s="25" t="s">
        <v>663</v>
      </c>
      <c r="C232" s="25" t="s">
        <v>664</v>
      </c>
      <c r="D232" s="24" t="s">
        <v>28</v>
      </c>
    </row>
    <row r="233" spans="1:4" x14ac:dyDescent="0.35">
      <c r="A233" s="24">
        <v>5</v>
      </c>
      <c r="B233" s="25" t="s">
        <v>665</v>
      </c>
      <c r="C233" s="25" t="s">
        <v>666</v>
      </c>
      <c r="D233" s="24" t="s">
        <v>28</v>
      </c>
    </row>
    <row r="234" spans="1:4" ht="33.6" x14ac:dyDescent="0.35">
      <c r="A234" s="24">
        <v>6</v>
      </c>
      <c r="B234" s="25" t="s">
        <v>667</v>
      </c>
      <c r="C234" s="25" t="s">
        <v>39</v>
      </c>
      <c r="D234" s="24" t="s">
        <v>28</v>
      </c>
    </row>
    <row r="235" spans="1:4" ht="33.6" x14ac:dyDescent="0.35">
      <c r="A235" s="24">
        <v>7</v>
      </c>
      <c r="B235" s="25" t="s">
        <v>668</v>
      </c>
      <c r="C235" s="25" t="s">
        <v>669</v>
      </c>
      <c r="D235" s="24" t="s">
        <v>28</v>
      </c>
    </row>
    <row r="236" spans="1:4" ht="33.6" x14ac:dyDescent="0.35">
      <c r="A236" s="24">
        <v>8</v>
      </c>
      <c r="B236" s="25" t="s">
        <v>34</v>
      </c>
      <c r="C236" s="25" t="s">
        <v>41</v>
      </c>
      <c r="D236" s="24" t="s">
        <v>28</v>
      </c>
    </row>
    <row r="237" spans="1:4" x14ac:dyDescent="0.35">
      <c r="A237" s="24">
        <v>9</v>
      </c>
      <c r="B237" s="25" t="s">
        <v>670</v>
      </c>
      <c r="C237" s="25" t="s">
        <v>671</v>
      </c>
      <c r="D237" s="24" t="s">
        <v>28</v>
      </c>
    </row>
    <row r="238" spans="1:4" ht="33.6" x14ac:dyDescent="0.35">
      <c r="A238" s="24">
        <v>10</v>
      </c>
      <c r="B238" s="25" t="s">
        <v>672</v>
      </c>
      <c r="C238" s="25" t="s">
        <v>849</v>
      </c>
      <c r="D238" s="24" t="s">
        <v>28</v>
      </c>
    </row>
    <row r="239" spans="1:4" ht="50.4" x14ac:dyDescent="0.35">
      <c r="A239" s="24">
        <v>11</v>
      </c>
      <c r="B239" s="25" t="s">
        <v>674</v>
      </c>
      <c r="C239" s="25" t="s">
        <v>708</v>
      </c>
      <c r="D239" s="24" t="s">
        <v>1524</v>
      </c>
    </row>
    <row r="240" spans="1:4" x14ac:dyDescent="0.35">
      <c r="A240" s="26" t="s">
        <v>6</v>
      </c>
      <c r="B240" s="132" t="s">
        <v>676</v>
      </c>
      <c r="C240" s="132"/>
      <c r="D240" s="24"/>
    </row>
    <row r="241" spans="1:4" x14ac:dyDescent="0.35">
      <c r="A241" s="24">
        <v>1</v>
      </c>
      <c r="B241" s="25" t="s">
        <v>934</v>
      </c>
      <c r="C241" s="30" t="s">
        <v>935</v>
      </c>
      <c r="D241" s="24" t="s">
        <v>28</v>
      </c>
    </row>
    <row r="242" spans="1:4" x14ac:dyDescent="0.35">
      <c r="A242" s="24">
        <v>2</v>
      </c>
      <c r="B242" s="25" t="s">
        <v>716</v>
      </c>
      <c r="C242" s="25" t="s">
        <v>936</v>
      </c>
      <c r="D242" s="24" t="s">
        <v>28</v>
      </c>
    </row>
    <row r="243" spans="1:4" x14ac:dyDescent="0.35">
      <c r="A243" s="24">
        <v>3</v>
      </c>
      <c r="B243" s="25" t="s">
        <v>937</v>
      </c>
      <c r="C243" s="25" t="s">
        <v>938</v>
      </c>
      <c r="D243" s="24" t="s">
        <v>28</v>
      </c>
    </row>
    <row r="244" spans="1:4" ht="33.6" x14ac:dyDescent="0.35">
      <c r="A244" s="24">
        <v>4</v>
      </c>
      <c r="B244" s="25" t="s">
        <v>939</v>
      </c>
      <c r="C244" s="25" t="s">
        <v>940</v>
      </c>
      <c r="D244" s="24" t="s">
        <v>28</v>
      </c>
    </row>
    <row r="245" spans="1:4" ht="33.6" x14ac:dyDescent="0.35">
      <c r="A245" s="24">
        <v>5</v>
      </c>
      <c r="B245" s="25" t="s">
        <v>49</v>
      </c>
      <c r="C245" s="25" t="s">
        <v>917</v>
      </c>
      <c r="D245" s="24" t="s">
        <v>28</v>
      </c>
    </row>
    <row r="246" spans="1:4" x14ac:dyDescent="0.35">
      <c r="A246" s="24">
        <v>6</v>
      </c>
      <c r="B246" s="25" t="s">
        <v>941</v>
      </c>
      <c r="C246" s="25" t="s">
        <v>942</v>
      </c>
      <c r="D246" s="24" t="s">
        <v>28</v>
      </c>
    </row>
    <row r="247" spans="1:4" x14ac:dyDescent="0.35">
      <c r="A247" s="24">
        <v>7</v>
      </c>
      <c r="B247" s="25" t="s">
        <v>943</v>
      </c>
      <c r="C247" s="25" t="s">
        <v>944</v>
      </c>
      <c r="D247" s="24" t="s">
        <v>28</v>
      </c>
    </row>
    <row r="248" spans="1:4" x14ac:dyDescent="0.35">
      <c r="A248" s="24">
        <v>8</v>
      </c>
      <c r="B248" s="25" t="s">
        <v>876</v>
      </c>
      <c r="C248" s="25" t="s">
        <v>945</v>
      </c>
      <c r="D248" s="24" t="s">
        <v>28</v>
      </c>
    </row>
    <row r="249" spans="1:4" ht="33.6" x14ac:dyDescent="0.35">
      <c r="A249" s="49" t="s">
        <v>946</v>
      </c>
      <c r="B249" s="145" t="s">
        <v>947</v>
      </c>
      <c r="C249" s="145"/>
      <c r="D249" s="111"/>
    </row>
    <row r="250" spans="1:4" x14ac:dyDescent="0.35">
      <c r="A250" s="26" t="s">
        <v>4</v>
      </c>
      <c r="B250" s="132" t="s">
        <v>363</v>
      </c>
      <c r="C250" s="132"/>
      <c r="D250" s="24"/>
    </row>
    <row r="251" spans="1:4" x14ac:dyDescent="0.35">
      <c r="A251" s="24">
        <v>1</v>
      </c>
      <c r="B251" s="25" t="s">
        <v>661</v>
      </c>
      <c r="C251" s="25" t="s">
        <v>662</v>
      </c>
      <c r="D251" s="24" t="s">
        <v>1537</v>
      </c>
    </row>
    <row r="252" spans="1:4" x14ac:dyDescent="0.35">
      <c r="A252" s="24">
        <v>2</v>
      </c>
      <c r="B252" s="25" t="s">
        <v>32</v>
      </c>
      <c r="C252" s="25" t="s">
        <v>662</v>
      </c>
      <c r="D252" s="115" t="s">
        <v>1536</v>
      </c>
    </row>
    <row r="253" spans="1:4" x14ac:dyDescent="0.35">
      <c r="A253" s="24">
        <v>3</v>
      </c>
      <c r="B253" s="25" t="s">
        <v>33</v>
      </c>
      <c r="C253" s="25" t="s">
        <v>662</v>
      </c>
      <c r="D253" s="24" t="s">
        <v>1506</v>
      </c>
    </row>
    <row r="254" spans="1:4" x14ac:dyDescent="0.35">
      <c r="A254" s="24">
        <v>4</v>
      </c>
      <c r="B254" s="25" t="s">
        <v>663</v>
      </c>
      <c r="C254" s="25" t="s">
        <v>664</v>
      </c>
      <c r="D254" s="24" t="s">
        <v>28</v>
      </c>
    </row>
    <row r="255" spans="1:4" x14ac:dyDescent="0.35">
      <c r="A255" s="24">
        <v>5</v>
      </c>
      <c r="B255" s="25" t="s">
        <v>665</v>
      </c>
      <c r="C255" s="25" t="s">
        <v>666</v>
      </c>
      <c r="D255" s="24" t="s">
        <v>28</v>
      </c>
    </row>
    <row r="256" spans="1:4" ht="33.6" x14ac:dyDescent="0.35">
      <c r="A256" s="24">
        <v>6</v>
      </c>
      <c r="B256" s="25" t="s">
        <v>667</v>
      </c>
      <c r="C256" s="25" t="s">
        <v>39</v>
      </c>
      <c r="D256" s="24" t="s">
        <v>28</v>
      </c>
    </row>
    <row r="257" spans="1:4" ht="33.6" x14ac:dyDescent="0.35">
      <c r="A257" s="24">
        <v>7</v>
      </c>
      <c r="B257" s="25" t="s">
        <v>668</v>
      </c>
      <c r="C257" s="25" t="s">
        <v>669</v>
      </c>
      <c r="D257" s="24" t="s">
        <v>28</v>
      </c>
    </row>
    <row r="258" spans="1:4" ht="33.6" x14ac:dyDescent="0.35">
      <c r="A258" s="24">
        <v>8</v>
      </c>
      <c r="B258" s="25" t="s">
        <v>34</v>
      </c>
      <c r="C258" s="25" t="s">
        <v>41</v>
      </c>
      <c r="D258" s="24" t="s">
        <v>28</v>
      </c>
    </row>
    <row r="259" spans="1:4" x14ac:dyDescent="0.35">
      <c r="A259" s="24">
        <v>9</v>
      </c>
      <c r="B259" s="25" t="s">
        <v>670</v>
      </c>
      <c r="C259" s="25" t="s">
        <v>671</v>
      </c>
      <c r="D259" s="24" t="s">
        <v>28</v>
      </c>
    </row>
    <row r="260" spans="1:4" ht="33.6" x14ac:dyDescent="0.35">
      <c r="A260" s="24">
        <v>10</v>
      </c>
      <c r="B260" s="25" t="s">
        <v>672</v>
      </c>
      <c r="C260" s="25" t="s">
        <v>849</v>
      </c>
      <c r="D260" s="24" t="s">
        <v>28</v>
      </c>
    </row>
    <row r="261" spans="1:4" ht="50.4" x14ac:dyDescent="0.35">
      <c r="A261" s="24">
        <v>11</v>
      </c>
      <c r="B261" s="25" t="s">
        <v>674</v>
      </c>
      <c r="C261" s="25" t="s">
        <v>708</v>
      </c>
      <c r="D261" s="24" t="s">
        <v>1538</v>
      </c>
    </row>
    <row r="262" spans="1:4" x14ac:dyDescent="0.35">
      <c r="A262" s="26" t="s">
        <v>6</v>
      </c>
      <c r="B262" s="132" t="s">
        <v>676</v>
      </c>
      <c r="C262" s="132"/>
      <c r="D262" s="24"/>
    </row>
    <row r="263" spans="1:4" x14ac:dyDescent="0.35">
      <c r="A263" s="24">
        <v>1</v>
      </c>
      <c r="B263" s="25" t="s">
        <v>934</v>
      </c>
      <c r="C263" s="30" t="s">
        <v>935</v>
      </c>
      <c r="D263" s="24" t="s">
        <v>28</v>
      </c>
    </row>
    <row r="264" spans="1:4" x14ac:dyDescent="0.35">
      <c r="A264" s="24">
        <v>2</v>
      </c>
      <c r="B264" s="25" t="s">
        <v>716</v>
      </c>
      <c r="C264" s="25" t="s">
        <v>936</v>
      </c>
      <c r="D264" s="24" t="s">
        <v>28</v>
      </c>
    </row>
    <row r="265" spans="1:4" x14ac:dyDescent="0.35">
      <c r="A265" s="24">
        <v>3</v>
      </c>
      <c r="B265" s="25" t="s">
        <v>937</v>
      </c>
      <c r="C265" s="25" t="s">
        <v>948</v>
      </c>
      <c r="D265" s="24" t="s">
        <v>28</v>
      </c>
    </row>
    <row r="266" spans="1:4" ht="33.6" x14ac:dyDescent="0.35">
      <c r="A266" s="24">
        <v>4</v>
      </c>
      <c r="B266" s="25" t="s">
        <v>939</v>
      </c>
      <c r="C266" s="25" t="s">
        <v>940</v>
      </c>
      <c r="D266" s="24" t="s">
        <v>28</v>
      </c>
    </row>
    <row r="267" spans="1:4" ht="33.6" x14ac:dyDescent="0.35">
      <c r="A267" s="24">
        <v>5</v>
      </c>
      <c r="B267" s="25" t="s">
        <v>49</v>
      </c>
      <c r="C267" s="25" t="s">
        <v>917</v>
      </c>
      <c r="D267" s="24" t="s">
        <v>28</v>
      </c>
    </row>
    <row r="268" spans="1:4" x14ac:dyDescent="0.35">
      <c r="A268" s="24">
        <v>6</v>
      </c>
      <c r="B268" s="25" t="s">
        <v>941</v>
      </c>
      <c r="C268" s="25" t="s">
        <v>942</v>
      </c>
      <c r="D268" s="24" t="s">
        <v>28</v>
      </c>
    </row>
    <row r="269" spans="1:4" x14ac:dyDescent="0.35">
      <c r="A269" s="24">
        <v>7</v>
      </c>
      <c r="B269" s="25" t="s">
        <v>943</v>
      </c>
      <c r="C269" s="25" t="s">
        <v>944</v>
      </c>
      <c r="D269" s="24" t="s">
        <v>28</v>
      </c>
    </row>
    <row r="270" spans="1:4" x14ac:dyDescent="0.35">
      <c r="A270" s="24">
        <v>8</v>
      </c>
      <c r="B270" s="25" t="s">
        <v>876</v>
      </c>
      <c r="C270" s="25" t="s">
        <v>945</v>
      </c>
      <c r="D270" s="24" t="s">
        <v>28</v>
      </c>
    </row>
    <row r="271" spans="1:4" ht="33.6" x14ac:dyDescent="0.35">
      <c r="A271" s="26" t="s">
        <v>949</v>
      </c>
      <c r="B271" s="138" t="s">
        <v>952</v>
      </c>
      <c r="C271" s="138"/>
      <c r="D271" s="64"/>
    </row>
    <row r="272" spans="1:4" x14ac:dyDescent="0.35">
      <c r="A272" s="26" t="s">
        <v>4</v>
      </c>
      <c r="B272" s="132" t="s">
        <v>363</v>
      </c>
      <c r="C272" s="132"/>
      <c r="D272" s="24"/>
    </row>
    <row r="273" spans="1:4" x14ac:dyDescent="0.35">
      <c r="A273" s="24">
        <v>1</v>
      </c>
      <c r="B273" s="25" t="s">
        <v>661</v>
      </c>
      <c r="C273" s="25" t="s">
        <v>662</v>
      </c>
      <c r="D273" s="24" t="s">
        <v>1535</v>
      </c>
    </row>
    <row r="274" spans="1:4" x14ac:dyDescent="0.35">
      <c r="A274" s="24">
        <v>2</v>
      </c>
      <c r="B274" s="25" t="s">
        <v>32</v>
      </c>
      <c r="C274" s="25" t="s">
        <v>662</v>
      </c>
      <c r="D274" s="24" t="s">
        <v>1536</v>
      </c>
    </row>
    <row r="275" spans="1:4" x14ac:dyDescent="0.35">
      <c r="A275" s="24">
        <v>3</v>
      </c>
      <c r="B275" s="25" t="s">
        <v>33</v>
      </c>
      <c r="C275" s="25" t="s">
        <v>662</v>
      </c>
      <c r="D275" s="24" t="s">
        <v>1506</v>
      </c>
    </row>
    <row r="276" spans="1:4" x14ac:dyDescent="0.35">
      <c r="A276" s="24">
        <v>4</v>
      </c>
      <c r="B276" s="25" t="s">
        <v>663</v>
      </c>
      <c r="C276" s="25" t="s">
        <v>664</v>
      </c>
      <c r="D276" s="24" t="s">
        <v>28</v>
      </c>
    </row>
    <row r="277" spans="1:4" x14ac:dyDescent="0.35">
      <c r="A277" s="24">
        <v>5</v>
      </c>
      <c r="B277" s="25" t="s">
        <v>665</v>
      </c>
      <c r="C277" s="25" t="s">
        <v>666</v>
      </c>
      <c r="D277" s="24" t="s">
        <v>28</v>
      </c>
    </row>
    <row r="278" spans="1:4" ht="33.6" x14ac:dyDescent="0.35">
      <c r="A278" s="24">
        <v>6</v>
      </c>
      <c r="B278" s="25" t="s">
        <v>667</v>
      </c>
      <c r="C278" s="25" t="s">
        <v>39</v>
      </c>
      <c r="D278" s="24" t="s">
        <v>28</v>
      </c>
    </row>
    <row r="279" spans="1:4" ht="33.6" x14ac:dyDescent="0.35">
      <c r="A279" s="24">
        <v>7</v>
      </c>
      <c r="B279" s="25" t="s">
        <v>668</v>
      </c>
      <c r="C279" s="25" t="s">
        <v>669</v>
      </c>
      <c r="D279" s="24" t="s">
        <v>28</v>
      </c>
    </row>
    <row r="280" spans="1:4" ht="33.6" x14ac:dyDescent="0.35">
      <c r="A280" s="24">
        <v>8</v>
      </c>
      <c r="B280" s="25" t="s">
        <v>34</v>
      </c>
      <c r="C280" s="25" t="s">
        <v>41</v>
      </c>
      <c r="D280" s="24" t="s">
        <v>28</v>
      </c>
    </row>
    <row r="281" spans="1:4" x14ac:dyDescent="0.35">
      <c r="A281" s="24">
        <v>9</v>
      </c>
      <c r="B281" s="25" t="s">
        <v>670</v>
      </c>
      <c r="C281" s="25" t="s">
        <v>671</v>
      </c>
      <c r="D281" s="24" t="s">
        <v>28</v>
      </c>
    </row>
    <row r="282" spans="1:4" ht="33.6" x14ac:dyDescent="0.35">
      <c r="A282" s="24">
        <v>10</v>
      </c>
      <c r="B282" s="25" t="s">
        <v>672</v>
      </c>
      <c r="C282" s="25" t="s">
        <v>849</v>
      </c>
      <c r="D282" s="24" t="s">
        <v>28</v>
      </c>
    </row>
    <row r="283" spans="1:4" ht="50.4" x14ac:dyDescent="0.35">
      <c r="A283" s="24">
        <v>11</v>
      </c>
      <c r="B283" s="25" t="s">
        <v>674</v>
      </c>
      <c r="C283" s="25" t="s">
        <v>708</v>
      </c>
      <c r="D283" s="24" t="s">
        <v>1524</v>
      </c>
    </row>
    <row r="284" spans="1:4" x14ac:dyDescent="0.35">
      <c r="A284" s="26" t="s">
        <v>6</v>
      </c>
      <c r="B284" s="132" t="s">
        <v>676</v>
      </c>
      <c r="C284" s="132"/>
      <c r="D284" s="24"/>
    </row>
    <row r="285" spans="1:4" x14ac:dyDescent="0.35">
      <c r="A285" s="24">
        <v>1</v>
      </c>
      <c r="B285" s="25" t="s">
        <v>934</v>
      </c>
      <c r="C285" s="30" t="s">
        <v>935</v>
      </c>
      <c r="D285" s="24" t="s">
        <v>28</v>
      </c>
    </row>
    <row r="286" spans="1:4" x14ac:dyDescent="0.35">
      <c r="A286" s="24">
        <v>2</v>
      </c>
      <c r="B286" s="25" t="s">
        <v>716</v>
      </c>
      <c r="C286" s="25" t="s">
        <v>936</v>
      </c>
      <c r="D286" s="24" t="s">
        <v>28</v>
      </c>
    </row>
    <row r="287" spans="1:4" x14ac:dyDescent="0.35">
      <c r="A287" s="24">
        <v>3</v>
      </c>
      <c r="B287" s="25" t="s">
        <v>937</v>
      </c>
      <c r="C287" s="25" t="s">
        <v>938</v>
      </c>
      <c r="D287" s="24" t="s">
        <v>28</v>
      </c>
    </row>
    <row r="288" spans="1:4" ht="33.6" x14ac:dyDescent="0.35">
      <c r="A288" s="24">
        <v>4</v>
      </c>
      <c r="B288" s="25" t="s">
        <v>939</v>
      </c>
      <c r="C288" s="25" t="s">
        <v>940</v>
      </c>
      <c r="D288" s="24" t="s">
        <v>28</v>
      </c>
    </row>
    <row r="289" spans="1:4" ht="33.6" x14ac:dyDescent="0.35">
      <c r="A289" s="24">
        <v>5</v>
      </c>
      <c r="B289" s="25" t="s">
        <v>49</v>
      </c>
      <c r="C289" s="25" t="s">
        <v>917</v>
      </c>
      <c r="D289" s="24" t="s">
        <v>28</v>
      </c>
    </row>
    <row r="290" spans="1:4" x14ac:dyDescent="0.35">
      <c r="A290" s="24">
        <v>6</v>
      </c>
      <c r="B290" s="25" t="s">
        <v>941</v>
      </c>
      <c r="C290" s="25" t="s">
        <v>942</v>
      </c>
      <c r="D290" s="24" t="s">
        <v>28</v>
      </c>
    </row>
    <row r="291" spans="1:4" x14ac:dyDescent="0.35">
      <c r="A291" s="129">
        <v>7</v>
      </c>
      <c r="B291" s="127" t="s">
        <v>943</v>
      </c>
      <c r="C291" s="30" t="s">
        <v>1089</v>
      </c>
      <c r="D291" s="24" t="s">
        <v>28</v>
      </c>
    </row>
    <row r="292" spans="1:4" ht="33.6" x14ac:dyDescent="0.35">
      <c r="A292" s="129"/>
      <c r="B292" s="127"/>
      <c r="C292" s="30" t="s">
        <v>1090</v>
      </c>
      <c r="D292" s="24" t="s">
        <v>28</v>
      </c>
    </row>
    <row r="293" spans="1:4" x14ac:dyDescent="0.35">
      <c r="A293" s="24">
        <v>8</v>
      </c>
      <c r="B293" s="25" t="s">
        <v>876</v>
      </c>
      <c r="C293" s="25" t="s">
        <v>945</v>
      </c>
      <c r="D293" s="24" t="s">
        <v>28</v>
      </c>
    </row>
    <row r="294" spans="1:4" ht="33.6" x14ac:dyDescent="0.35">
      <c r="A294" s="26" t="s">
        <v>950</v>
      </c>
      <c r="B294" s="138" t="s">
        <v>951</v>
      </c>
      <c r="C294" s="138"/>
      <c r="D294" s="108"/>
    </row>
    <row r="295" spans="1:4" x14ac:dyDescent="0.35">
      <c r="A295" s="26" t="s">
        <v>4</v>
      </c>
      <c r="B295" s="132" t="s">
        <v>363</v>
      </c>
      <c r="C295" s="132"/>
      <c r="D295" s="24"/>
    </row>
    <row r="296" spans="1:4" x14ac:dyDescent="0.35">
      <c r="A296" s="24">
        <v>1</v>
      </c>
      <c r="B296" s="25" t="s">
        <v>661</v>
      </c>
      <c r="C296" s="25" t="s">
        <v>662</v>
      </c>
      <c r="D296" s="66" t="s">
        <v>1537</v>
      </c>
    </row>
    <row r="297" spans="1:4" x14ac:dyDescent="0.35">
      <c r="A297" s="24">
        <v>2</v>
      </c>
      <c r="B297" s="25" t="s">
        <v>32</v>
      </c>
      <c r="C297" s="25" t="s">
        <v>662</v>
      </c>
      <c r="D297" s="95" t="s">
        <v>1536</v>
      </c>
    </row>
    <row r="298" spans="1:4" x14ac:dyDescent="0.35">
      <c r="A298" s="24">
        <v>3</v>
      </c>
      <c r="B298" s="25" t="s">
        <v>33</v>
      </c>
      <c r="C298" s="25" t="s">
        <v>662</v>
      </c>
      <c r="D298" s="106" t="s">
        <v>1506</v>
      </c>
    </row>
    <row r="299" spans="1:4" x14ac:dyDescent="0.35">
      <c r="A299" s="24">
        <v>4</v>
      </c>
      <c r="B299" s="25" t="s">
        <v>663</v>
      </c>
      <c r="C299" s="25" t="s">
        <v>664</v>
      </c>
      <c r="D299" s="24" t="s">
        <v>28</v>
      </c>
    </row>
    <row r="300" spans="1:4" x14ac:dyDescent="0.35">
      <c r="A300" s="24">
        <v>5</v>
      </c>
      <c r="B300" s="25" t="s">
        <v>665</v>
      </c>
      <c r="C300" s="25" t="s">
        <v>666</v>
      </c>
      <c r="D300" s="24" t="s">
        <v>28</v>
      </c>
    </row>
    <row r="301" spans="1:4" ht="33.6" x14ac:dyDescent="0.35">
      <c r="A301" s="24">
        <v>6</v>
      </c>
      <c r="B301" s="25" t="s">
        <v>667</v>
      </c>
      <c r="C301" s="25" t="s">
        <v>39</v>
      </c>
      <c r="D301" s="24" t="s">
        <v>28</v>
      </c>
    </row>
    <row r="302" spans="1:4" ht="33.6" x14ac:dyDescent="0.35">
      <c r="A302" s="24">
        <v>7</v>
      </c>
      <c r="B302" s="25" t="s">
        <v>668</v>
      </c>
      <c r="C302" s="25" t="s">
        <v>669</v>
      </c>
      <c r="D302" s="24" t="s">
        <v>28</v>
      </c>
    </row>
    <row r="303" spans="1:4" ht="33.6" x14ac:dyDescent="0.35">
      <c r="A303" s="24">
        <v>8</v>
      </c>
      <c r="B303" s="25" t="s">
        <v>34</v>
      </c>
      <c r="C303" s="25" t="s">
        <v>41</v>
      </c>
      <c r="D303" s="24" t="s">
        <v>28</v>
      </c>
    </row>
    <row r="304" spans="1:4" x14ac:dyDescent="0.35">
      <c r="A304" s="24">
        <v>9</v>
      </c>
      <c r="B304" s="25" t="s">
        <v>670</v>
      </c>
      <c r="C304" s="25" t="s">
        <v>671</v>
      </c>
      <c r="D304" s="24" t="s">
        <v>28</v>
      </c>
    </row>
    <row r="305" spans="1:4" ht="33.6" x14ac:dyDescent="0.35">
      <c r="A305" s="24">
        <v>10</v>
      </c>
      <c r="B305" s="25" t="s">
        <v>672</v>
      </c>
      <c r="C305" s="25" t="s">
        <v>849</v>
      </c>
      <c r="D305" s="24" t="s">
        <v>28</v>
      </c>
    </row>
    <row r="306" spans="1:4" ht="50.4" x14ac:dyDescent="0.35">
      <c r="A306" s="24">
        <v>11</v>
      </c>
      <c r="B306" s="25" t="s">
        <v>674</v>
      </c>
      <c r="C306" s="25" t="s">
        <v>708</v>
      </c>
      <c r="D306" s="24" t="s">
        <v>1524</v>
      </c>
    </row>
    <row r="307" spans="1:4" x14ac:dyDescent="0.35">
      <c r="A307" s="26" t="s">
        <v>6</v>
      </c>
      <c r="B307" s="132" t="s">
        <v>676</v>
      </c>
      <c r="C307" s="132"/>
      <c r="D307" s="24"/>
    </row>
    <row r="308" spans="1:4" x14ac:dyDescent="0.35">
      <c r="A308" s="24">
        <v>1</v>
      </c>
      <c r="B308" s="25" t="s">
        <v>934</v>
      </c>
      <c r="C308" s="30" t="s">
        <v>935</v>
      </c>
      <c r="D308" s="24" t="s">
        <v>28</v>
      </c>
    </row>
    <row r="309" spans="1:4" x14ac:dyDescent="0.35">
      <c r="A309" s="24">
        <v>2</v>
      </c>
      <c r="B309" s="25" t="s">
        <v>716</v>
      </c>
      <c r="C309" s="25" t="s">
        <v>936</v>
      </c>
      <c r="D309" s="24" t="s">
        <v>28</v>
      </c>
    </row>
    <row r="310" spans="1:4" x14ac:dyDescent="0.35">
      <c r="A310" s="24">
        <v>3</v>
      </c>
      <c r="B310" s="25" t="s">
        <v>937</v>
      </c>
      <c r="C310" s="25" t="s">
        <v>948</v>
      </c>
      <c r="D310" s="24" t="s">
        <v>28</v>
      </c>
    </row>
    <row r="311" spans="1:4" ht="33.6" x14ac:dyDescent="0.35">
      <c r="A311" s="24">
        <v>4</v>
      </c>
      <c r="B311" s="25" t="s">
        <v>939</v>
      </c>
      <c r="C311" s="25" t="s">
        <v>940</v>
      </c>
      <c r="D311" s="24" t="s">
        <v>28</v>
      </c>
    </row>
    <row r="312" spans="1:4" ht="33.6" x14ac:dyDescent="0.35">
      <c r="A312" s="24">
        <v>5</v>
      </c>
      <c r="B312" s="25" t="s">
        <v>49</v>
      </c>
      <c r="C312" s="25" t="s">
        <v>917</v>
      </c>
      <c r="D312" s="24" t="s">
        <v>28</v>
      </c>
    </row>
    <row r="313" spans="1:4" x14ac:dyDescent="0.35">
      <c r="A313" s="24">
        <v>6</v>
      </c>
      <c r="B313" s="25" t="s">
        <v>941</v>
      </c>
      <c r="C313" s="25" t="s">
        <v>942</v>
      </c>
      <c r="D313" s="24" t="s">
        <v>28</v>
      </c>
    </row>
    <row r="314" spans="1:4" x14ac:dyDescent="0.35">
      <c r="A314" s="129">
        <v>7</v>
      </c>
      <c r="B314" s="127" t="s">
        <v>943</v>
      </c>
      <c r="C314" s="30" t="s">
        <v>1089</v>
      </c>
      <c r="D314" s="24" t="s">
        <v>28</v>
      </c>
    </row>
    <row r="315" spans="1:4" ht="33.6" x14ac:dyDescent="0.35">
      <c r="A315" s="129"/>
      <c r="B315" s="127"/>
      <c r="C315" s="30" t="s">
        <v>1090</v>
      </c>
      <c r="D315" s="24" t="s">
        <v>28</v>
      </c>
    </row>
    <row r="316" spans="1:4" x14ac:dyDescent="0.35">
      <c r="A316" s="24">
        <v>8</v>
      </c>
      <c r="B316" s="25" t="s">
        <v>876</v>
      </c>
      <c r="C316" s="25" t="s">
        <v>945</v>
      </c>
      <c r="D316" s="24" t="s">
        <v>28</v>
      </c>
    </row>
    <row r="317" spans="1:4" ht="33.6" x14ac:dyDescent="0.35">
      <c r="A317" s="26" t="s">
        <v>953</v>
      </c>
      <c r="B317" s="138" t="s">
        <v>954</v>
      </c>
      <c r="C317" s="138"/>
      <c r="D317" s="108"/>
    </row>
    <row r="318" spans="1:4" x14ac:dyDescent="0.35">
      <c r="A318" s="26" t="s">
        <v>4</v>
      </c>
      <c r="B318" s="132" t="s">
        <v>363</v>
      </c>
      <c r="C318" s="132"/>
      <c r="D318" s="24"/>
    </row>
    <row r="319" spans="1:4" x14ac:dyDescent="0.35">
      <c r="A319" s="24">
        <v>1</v>
      </c>
      <c r="B319" s="25" t="s">
        <v>661</v>
      </c>
      <c r="C319" s="25" t="s">
        <v>662</v>
      </c>
      <c r="D319" s="66" t="s">
        <v>1537</v>
      </c>
    </row>
    <row r="320" spans="1:4" x14ac:dyDescent="0.35">
      <c r="A320" s="24">
        <v>2</v>
      </c>
      <c r="B320" s="25" t="s">
        <v>32</v>
      </c>
      <c r="C320" s="25" t="s">
        <v>662</v>
      </c>
      <c r="D320" s="95" t="s">
        <v>1536</v>
      </c>
    </row>
    <row r="321" spans="1:4" x14ac:dyDescent="0.35">
      <c r="A321" s="24">
        <v>3</v>
      </c>
      <c r="B321" s="25" t="s">
        <v>33</v>
      </c>
      <c r="C321" s="25" t="s">
        <v>662</v>
      </c>
      <c r="D321" s="106" t="s">
        <v>1506</v>
      </c>
    </row>
    <row r="322" spans="1:4" x14ac:dyDescent="0.35">
      <c r="A322" s="24">
        <v>4</v>
      </c>
      <c r="B322" s="25" t="s">
        <v>663</v>
      </c>
      <c r="C322" s="25" t="s">
        <v>664</v>
      </c>
      <c r="D322" s="24" t="s">
        <v>28</v>
      </c>
    </row>
    <row r="323" spans="1:4" x14ac:dyDescent="0.35">
      <c r="A323" s="24">
        <v>5</v>
      </c>
      <c r="B323" s="25" t="s">
        <v>665</v>
      </c>
      <c r="C323" s="25" t="s">
        <v>666</v>
      </c>
      <c r="D323" s="24" t="s">
        <v>28</v>
      </c>
    </row>
    <row r="324" spans="1:4" ht="33.6" x14ac:dyDescent="0.35">
      <c r="A324" s="24">
        <v>6</v>
      </c>
      <c r="B324" s="25" t="s">
        <v>667</v>
      </c>
      <c r="C324" s="25" t="s">
        <v>39</v>
      </c>
      <c r="D324" s="24" t="s">
        <v>28</v>
      </c>
    </row>
    <row r="325" spans="1:4" ht="33.6" x14ac:dyDescent="0.35">
      <c r="A325" s="24">
        <v>7</v>
      </c>
      <c r="B325" s="25" t="s">
        <v>668</v>
      </c>
      <c r="C325" s="25" t="s">
        <v>669</v>
      </c>
      <c r="D325" s="24" t="s">
        <v>28</v>
      </c>
    </row>
    <row r="326" spans="1:4" ht="33.6" x14ac:dyDescent="0.35">
      <c r="A326" s="24">
        <v>8</v>
      </c>
      <c r="B326" s="25" t="s">
        <v>34</v>
      </c>
      <c r="C326" s="25" t="s">
        <v>41</v>
      </c>
      <c r="D326" s="24" t="s">
        <v>28</v>
      </c>
    </row>
    <row r="327" spans="1:4" x14ac:dyDescent="0.35">
      <c r="A327" s="24">
        <v>9</v>
      </c>
      <c r="B327" s="25" t="s">
        <v>670</v>
      </c>
      <c r="C327" s="25" t="s">
        <v>671</v>
      </c>
      <c r="D327" s="24" t="s">
        <v>28</v>
      </c>
    </row>
    <row r="328" spans="1:4" ht="33.6" x14ac:dyDescent="0.35">
      <c r="A328" s="24">
        <v>10</v>
      </c>
      <c r="B328" s="25" t="s">
        <v>672</v>
      </c>
      <c r="C328" s="25" t="s">
        <v>849</v>
      </c>
      <c r="D328" s="24" t="s">
        <v>28</v>
      </c>
    </row>
    <row r="329" spans="1:4" ht="50.4" x14ac:dyDescent="0.35">
      <c r="A329" s="24">
        <v>11</v>
      </c>
      <c r="B329" s="25" t="s">
        <v>674</v>
      </c>
      <c r="C329" s="25" t="s">
        <v>708</v>
      </c>
      <c r="D329" s="24" t="s">
        <v>1524</v>
      </c>
    </row>
    <row r="330" spans="1:4" x14ac:dyDescent="0.35">
      <c r="A330" s="26" t="s">
        <v>6</v>
      </c>
      <c r="B330" s="132" t="s">
        <v>676</v>
      </c>
      <c r="C330" s="132"/>
      <c r="D330" s="24"/>
    </row>
    <row r="331" spans="1:4" x14ac:dyDescent="0.35">
      <c r="A331" s="24">
        <v>1</v>
      </c>
      <c r="B331" s="25" t="s">
        <v>934</v>
      </c>
      <c r="C331" s="30" t="s">
        <v>955</v>
      </c>
      <c r="D331" s="24" t="s">
        <v>28</v>
      </c>
    </row>
    <row r="332" spans="1:4" x14ac:dyDescent="0.35">
      <c r="A332" s="24">
        <v>2</v>
      </c>
      <c r="B332" s="25" t="s">
        <v>716</v>
      </c>
      <c r="C332" s="25" t="s">
        <v>936</v>
      </c>
      <c r="D332" s="24" t="s">
        <v>28</v>
      </c>
    </row>
    <row r="333" spans="1:4" ht="33.6" x14ac:dyDescent="0.35">
      <c r="A333" s="24">
        <v>3</v>
      </c>
      <c r="B333" s="25" t="s">
        <v>956</v>
      </c>
      <c r="C333" s="25" t="s">
        <v>957</v>
      </c>
      <c r="D333" s="24" t="s">
        <v>28</v>
      </c>
    </row>
    <row r="334" spans="1:4" x14ac:dyDescent="0.35">
      <c r="A334" s="24">
        <v>4</v>
      </c>
      <c r="B334" s="25" t="s">
        <v>939</v>
      </c>
      <c r="C334" s="25" t="s">
        <v>958</v>
      </c>
      <c r="D334" s="24" t="s">
        <v>28</v>
      </c>
    </row>
    <row r="335" spans="1:4" ht="33.6" x14ac:dyDescent="0.35">
      <c r="A335" s="24">
        <v>5</v>
      </c>
      <c r="B335" s="25" t="s">
        <v>49</v>
      </c>
      <c r="C335" s="25" t="s">
        <v>878</v>
      </c>
      <c r="D335" s="24" t="s">
        <v>28</v>
      </c>
    </row>
    <row r="336" spans="1:4" x14ac:dyDescent="0.35">
      <c r="A336" s="24">
        <v>6</v>
      </c>
      <c r="B336" s="25" t="s">
        <v>959</v>
      </c>
      <c r="C336" s="25" t="s">
        <v>960</v>
      </c>
      <c r="D336" s="24" t="s">
        <v>28</v>
      </c>
    </row>
    <row r="337" spans="1:4" ht="33.6" x14ac:dyDescent="0.35">
      <c r="A337" s="24">
        <v>7</v>
      </c>
      <c r="B337" s="25" t="s">
        <v>961</v>
      </c>
      <c r="C337" s="25" t="s">
        <v>962</v>
      </c>
      <c r="D337" s="24" t="s">
        <v>28</v>
      </c>
    </row>
    <row r="338" spans="1:4" x14ac:dyDescent="0.35">
      <c r="A338" s="24">
        <v>8</v>
      </c>
      <c r="B338" s="25" t="s">
        <v>943</v>
      </c>
      <c r="C338" s="25" t="s">
        <v>944</v>
      </c>
      <c r="D338" s="24" t="s">
        <v>28</v>
      </c>
    </row>
    <row r="339" spans="1:4" ht="50.4" x14ac:dyDescent="0.35">
      <c r="A339" s="24">
        <v>9</v>
      </c>
      <c r="B339" s="25" t="s">
        <v>876</v>
      </c>
      <c r="C339" s="25" t="s">
        <v>963</v>
      </c>
      <c r="D339" s="24" t="s">
        <v>28</v>
      </c>
    </row>
    <row r="340" spans="1:4" ht="33.6" x14ac:dyDescent="0.35">
      <c r="A340" s="49" t="s">
        <v>964</v>
      </c>
      <c r="B340" s="145" t="s">
        <v>965</v>
      </c>
      <c r="C340" s="145"/>
      <c r="D340" s="74"/>
    </row>
    <row r="341" spans="1:4" x14ac:dyDescent="0.35">
      <c r="A341" s="26" t="s">
        <v>4</v>
      </c>
      <c r="B341" s="132" t="s">
        <v>363</v>
      </c>
      <c r="C341" s="132"/>
      <c r="D341" s="24"/>
    </row>
    <row r="342" spans="1:4" ht="33.6" x14ac:dyDescent="0.35">
      <c r="A342" s="24">
        <v>1</v>
      </c>
      <c r="B342" s="25" t="s">
        <v>661</v>
      </c>
      <c r="C342" s="25" t="s">
        <v>662</v>
      </c>
      <c r="D342" s="24" t="s">
        <v>1539</v>
      </c>
    </row>
    <row r="343" spans="1:4" x14ac:dyDescent="0.35">
      <c r="A343" s="24">
        <v>2</v>
      </c>
      <c r="B343" s="25" t="s">
        <v>32</v>
      </c>
      <c r="C343" s="25" t="s">
        <v>662</v>
      </c>
      <c r="D343" s="24" t="s">
        <v>1536</v>
      </c>
    </row>
    <row r="344" spans="1:4" x14ac:dyDescent="0.35">
      <c r="A344" s="24">
        <v>3</v>
      </c>
      <c r="B344" s="25" t="s">
        <v>33</v>
      </c>
      <c r="C344" s="25" t="s">
        <v>662</v>
      </c>
      <c r="D344" s="24" t="s">
        <v>1506</v>
      </c>
    </row>
    <row r="345" spans="1:4" x14ac:dyDescent="0.35">
      <c r="A345" s="24">
        <v>4</v>
      </c>
      <c r="B345" s="25" t="s">
        <v>663</v>
      </c>
      <c r="C345" s="25" t="s">
        <v>664</v>
      </c>
      <c r="D345" s="24" t="s">
        <v>28</v>
      </c>
    </row>
    <row r="346" spans="1:4" x14ac:dyDescent="0.35">
      <c r="A346" s="24">
        <v>5</v>
      </c>
      <c r="B346" s="25" t="s">
        <v>665</v>
      </c>
      <c r="C346" s="25" t="s">
        <v>666</v>
      </c>
      <c r="D346" s="24" t="s">
        <v>28</v>
      </c>
    </row>
    <row r="347" spans="1:4" ht="33.6" x14ac:dyDescent="0.35">
      <c r="A347" s="24">
        <v>6</v>
      </c>
      <c r="B347" s="25" t="s">
        <v>667</v>
      </c>
      <c r="C347" s="25" t="s">
        <v>39</v>
      </c>
      <c r="D347" s="24" t="s">
        <v>28</v>
      </c>
    </row>
    <row r="348" spans="1:4" ht="33.6" x14ac:dyDescent="0.35">
      <c r="A348" s="24">
        <v>7</v>
      </c>
      <c r="B348" s="25" t="s">
        <v>668</v>
      </c>
      <c r="C348" s="25" t="s">
        <v>669</v>
      </c>
      <c r="D348" s="24" t="s">
        <v>28</v>
      </c>
    </row>
    <row r="349" spans="1:4" ht="33.6" x14ac:dyDescent="0.35">
      <c r="A349" s="24">
        <v>8</v>
      </c>
      <c r="B349" s="25" t="s">
        <v>34</v>
      </c>
      <c r="C349" s="25" t="s">
        <v>41</v>
      </c>
      <c r="D349" s="24" t="s">
        <v>28</v>
      </c>
    </row>
    <row r="350" spans="1:4" x14ac:dyDescent="0.35">
      <c r="A350" s="24">
        <v>9</v>
      </c>
      <c r="B350" s="25" t="s">
        <v>670</v>
      </c>
      <c r="C350" s="25" t="s">
        <v>671</v>
      </c>
      <c r="D350" s="24" t="s">
        <v>28</v>
      </c>
    </row>
    <row r="351" spans="1:4" ht="33.6" x14ac:dyDescent="0.35">
      <c r="A351" s="24">
        <v>10</v>
      </c>
      <c r="B351" s="25" t="s">
        <v>672</v>
      </c>
      <c r="C351" s="25" t="s">
        <v>849</v>
      </c>
      <c r="D351" s="24" t="s">
        <v>28</v>
      </c>
    </row>
    <row r="352" spans="1:4" ht="50.4" x14ac:dyDescent="0.35">
      <c r="A352" s="24">
        <v>11</v>
      </c>
      <c r="B352" s="25" t="s">
        <v>674</v>
      </c>
      <c r="C352" s="25" t="s">
        <v>708</v>
      </c>
      <c r="D352" s="24" t="s">
        <v>1524</v>
      </c>
    </row>
    <row r="353" spans="1:4" x14ac:dyDescent="0.35">
      <c r="A353" s="26" t="s">
        <v>6</v>
      </c>
      <c r="B353" s="132" t="s">
        <v>676</v>
      </c>
      <c r="C353" s="132"/>
      <c r="D353" s="24"/>
    </row>
    <row r="354" spans="1:4" x14ac:dyDescent="0.35">
      <c r="A354" s="24">
        <v>1</v>
      </c>
      <c r="B354" s="25" t="s">
        <v>934</v>
      </c>
      <c r="C354" s="30" t="s">
        <v>955</v>
      </c>
      <c r="D354" s="24" t="s">
        <v>28</v>
      </c>
    </row>
    <row r="355" spans="1:4" x14ac:dyDescent="0.35">
      <c r="A355" s="24">
        <v>2</v>
      </c>
      <c r="B355" s="25" t="s">
        <v>716</v>
      </c>
      <c r="C355" s="25" t="s">
        <v>936</v>
      </c>
      <c r="D355" s="24" t="s">
        <v>28</v>
      </c>
    </row>
    <row r="356" spans="1:4" ht="33.6" x14ac:dyDescent="0.35">
      <c r="A356" s="24">
        <v>3</v>
      </c>
      <c r="B356" s="25" t="s">
        <v>956</v>
      </c>
      <c r="C356" s="25" t="s">
        <v>957</v>
      </c>
      <c r="D356" s="24" t="s">
        <v>28</v>
      </c>
    </row>
    <row r="357" spans="1:4" x14ac:dyDescent="0.35">
      <c r="A357" s="24">
        <v>4</v>
      </c>
      <c r="B357" s="25" t="s">
        <v>939</v>
      </c>
      <c r="C357" s="25" t="s">
        <v>958</v>
      </c>
      <c r="D357" s="24" t="s">
        <v>28</v>
      </c>
    </row>
    <row r="358" spans="1:4" ht="33.6" x14ac:dyDescent="0.35">
      <c r="A358" s="24">
        <v>5</v>
      </c>
      <c r="B358" s="25" t="s">
        <v>49</v>
      </c>
      <c r="C358" s="25" t="s">
        <v>917</v>
      </c>
      <c r="D358" s="24" t="s">
        <v>28</v>
      </c>
    </row>
    <row r="359" spans="1:4" x14ac:dyDescent="0.35">
      <c r="A359" s="24">
        <v>6</v>
      </c>
      <c r="B359" s="25" t="s">
        <v>959</v>
      </c>
      <c r="C359" s="25" t="s">
        <v>966</v>
      </c>
      <c r="D359" s="24" t="s">
        <v>28</v>
      </c>
    </row>
    <row r="360" spans="1:4" ht="33.6" x14ac:dyDescent="0.35">
      <c r="A360" s="24">
        <v>7</v>
      </c>
      <c r="B360" s="25" t="s">
        <v>961</v>
      </c>
      <c r="C360" s="25" t="s">
        <v>962</v>
      </c>
      <c r="D360" s="24" t="s">
        <v>28</v>
      </c>
    </row>
    <row r="361" spans="1:4" ht="100.8" x14ac:dyDescent="0.35">
      <c r="A361" s="24">
        <v>8</v>
      </c>
      <c r="B361" s="25" t="s">
        <v>943</v>
      </c>
      <c r="C361" s="25" t="s">
        <v>1091</v>
      </c>
      <c r="D361" s="24" t="s">
        <v>28</v>
      </c>
    </row>
    <row r="362" spans="1:4" x14ac:dyDescent="0.35">
      <c r="A362" s="24">
        <v>9</v>
      </c>
      <c r="B362" s="25" t="s">
        <v>967</v>
      </c>
      <c r="C362" s="25" t="s">
        <v>944</v>
      </c>
      <c r="D362" s="24" t="s">
        <v>28</v>
      </c>
    </row>
    <row r="363" spans="1:4" ht="33.6" x14ac:dyDescent="0.35">
      <c r="A363" s="24">
        <v>10</v>
      </c>
      <c r="B363" s="25" t="s">
        <v>876</v>
      </c>
      <c r="C363" s="25" t="s">
        <v>968</v>
      </c>
      <c r="D363" s="24" t="s">
        <v>28</v>
      </c>
    </row>
    <row r="364" spans="1:4" ht="33.6" x14ac:dyDescent="0.35">
      <c r="A364" s="26" t="s">
        <v>970</v>
      </c>
      <c r="B364" s="138" t="s">
        <v>969</v>
      </c>
      <c r="C364" s="138"/>
      <c r="D364" s="108"/>
    </row>
    <row r="365" spans="1:4" x14ac:dyDescent="0.35">
      <c r="A365" s="26" t="s">
        <v>4</v>
      </c>
      <c r="B365" s="132" t="s">
        <v>363</v>
      </c>
      <c r="C365" s="132"/>
      <c r="D365" s="24"/>
    </row>
    <row r="366" spans="1:4" x14ac:dyDescent="0.35">
      <c r="A366" s="24">
        <v>1</v>
      </c>
      <c r="B366" s="25" t="s">
        <v>661</v>
      </c>
      <c r="C366" s="25" t="s">
        <v>662</v>
      </c>
      <c r="D366" s="116" t="s">
        <v>1540</v>
      </c>
    </row>
    <row r="367" spans="1:4" x14ac:dyDescent="0.35">
      <c r="A367" s="24">
        <v>2</v>
      </c>
      <c r="B367" s="25" t="s">
        <v>32</v>
      </c>
      <c r="C367" s="25" t="s">
        <v>662</v>
      </c>
      <c r="D367" s="106" t="s">
        <v>1523</v>
      </c>
    </row>
    <row r="368" spans="1:4" x14ac:dyDescent="0.35">
      <c r="A368" s="24">
        <v>3</v>
      </c>
      <c r="B368" s="25" t="s">
        <v>33</v>
      </c>
      <c r="C368" s="25" t="s">
        <v>662</v>
      </c>
      <c r="D368" s="24" t="s">
        <v>1521</v>
      </c>
    </row>
    <row r="369" spans="1:4" x14ac:dyDescent="0.35">
      <c r="A369" s="24">
        <v>4</v>
      </c>
      <c r="B369" s="25" t="s">
        <v>663</v>
      </c>
      <c r="C369" s="25" t="s">
        <v>664</v>
      </c>
      <c r="D369" s="24" t="s">
        <v>28</v>
      </c>
    </row>
    <row r="370" spans="1:4" x14ac:dyDescent="0.35">
      <c r="A370" s="24">
        <v>5</v>
      </c>
      <c r="B370" s="25" t="s">
        <v>665</v>
      </c>
      <c r="C370" s="25" t="s">
        <v>666</v>
      </c>
      <c r="D370" s="24" t="s">
        <v>28</v>
      </c>
    </row>
    <row r="371" spans="1:4" ht="33.6" x14ac:dyDescent="0.35">
      <c r="A371" s="24">
        <v>6</v>
      </c>
      <c r="B371" s="25" t="s">
        <v>667</v>
      </c>
      <c r="C371" s="25" t="s">
        <v>39</v>
      </c>
      <c r="D371" s="24" t="s">
        <v>28</v>
      </c>
    </row>
    <row r="372" spans="1:4" ht="33.6" x14ac:dyDescent="0.35">
      <c r="A372" s="24">
        <v>7</v>
      </c>
      <c r="B372" s="25" t="s">
        <v>668</v>
      </c>
      <c r="C372" s="25" t="s">
        <v>669</v>
      </c>
      <c r="D372" s="24" t="s">
        <v>28</v>
      </c>
    </row>
    <row r="373" spans="1:4" ht="33.6" x14ac:dyDescent="0.35">
      <c r="A373" s="24">
        <v>8</v>
      </c>
      <c r="B373" s="25" t="s">
        <v>34</v>
      </c>
      <c r="C373" s="25" t="s">
        <v>41</v>
      </c>
      <c r="D373" s="24" t="s">
        <v>28</v>
      </c>
    </row>
    <row r="374" spans="1:4" x14ac:dyDescent="0.35">
      <c r="A374" s="24">
        <v>9</v>
      </c>
      <c r="B374" s="25" t="s">
        <v>670</v>
      </c>
      <c r="C374" s="25" t="s">
        <v>671</v>
      </c>
      <c r="D374" s="24" t="s">
        <v>28</v>
      </c>
    </row>
    <row r="375" spans="1:4" ht="33.6" x14ac:dyDescent="0.35">
      <c r="A375" s="24">
        <v>10</v>
      </c>
      <c r="B375" s="25" t="s">
        <v>672</v>
      </c>
      <c r="C375" s="25" t="s">
        <v>849</v>
      </c>
      <c r="D375" s="24" t="s">
        <v>28</v>
      </c>
    </row>
    <row r="376" spans="1:4" ht="50.4" x14ac:dyDescent="0.35">
      <c r="A376" s="24">
        <v>11</v>
      </c>
      <c r="B376" s="25" t="s">
        <v>674</v>
      </c>
      <c r="C376" s="25" t="s">
        <v>708</v>
      </c>
      <c r="D376" s="24" t="s">
        <v>1524</v>
      </c>
    </row>
    <row r="377" spans="1:4" x14ac:dyDescent="0.35">
      <c r="A377" s="26" t="s">
        <v>6</v>
      </c>
      <c r="B377" s="132" t="s">
        <v>676</v>
      </c>
      <c r="C377" s="132"/>
      <c r="D377" s="24"/>
    </row>
    <row r="378" spans="1:4" x14ac:dyDescent="0.35">
      <c r="A378" s="24">
        <v>1</v>
      </c>
      <c r="B378" s="25" t="s">
        <v>855</v>
      </c>
      <c r="C378" s="25" t="s">
        <v>856</v>
      </c>
      <c r="D378" s="24" t="s">
        <v>28</v>
      </c>
    </row>
    <row r="379" spans="1:4" ht="67.2" x14ac:dyDescent="0.35">
      <c r="A379" s="24">
        <v>2</v>
      </c>
      <c r="B379" s="25" t="s">
        <v>692</v>
      </c>
      <c r="C379" s="25" t="s">
        <v>971</v>
      </c>
      <c r="D379" s="24" t="s">
        <v>28</v>
      </c>
    </row>
    <row r="380" spans="1:4" x14ac:dyDescent="0.35">
      <c r="A380" s="24">
        <v>3</v>
      </c>
      <c r="B380" s="25" t="s">
        <v>858</v>
      </c>
      <c r="C380" s="25" t="s">
        <v>859</v>
      </c>
      <c r="D380" s="24" t="s">
        <v>28</v>
      </c>
    </row>
    <row r="381" spans="1:4" ht="33.6" x14ac:dyDescent="0.35">
      <c r="A381" s="24">
        <v>4</v>
      </c>
      <c r="B381" s="25" t="s">
        <v>860</v>
      </c>
      <c r="C381" s="25" t="s">
        <v>859</v>
      </c>
      <c r="D381" s="24" t="s">
        <v>28</v>
      </c>
    </row>
    <row r="382" spans="1:4" ht="33.6" x14ac:dyDescent="0.35">
      <c r="A382" s="24">
        <v>5</v>
      </c>
      <c r="B382" s="25" t="s">
        <v>49</v>
      </c>
      <c r="C382" s="25" t="s">
        <v>878</v>
      </c>
      <c r="D382" s="24" t="s">
        <v>28</v>
      </c>
    </row>
    <row r="383" spans="1:4" ht="33.6" x14ac:dyDescent="0.35">
      <c r="A383" s="24">
        <v>6</v>
      </c>
      <c r="B383" s="25" t="s">
        <v>876</v>
      </c>
      <c r="C383" s="25" t="s">
        <v>877</v>
      </c>
      <c r="D383" s="24" t="s">
        <v>28</v>
      </c>
    </row>
    <row r="384" spans="1:4" ht="33.6" x14ac:dyDescent="0.35">
      <c r="A384" s="26" t="s">
        <v>972</v>
      </c>
      <c r="B384" s="138" t="s">
        <v>973</v>
      </c>
      <c r="C384" s="138"/>
      <c r="D384" s="11"/>
    </row>
    <row r="385" spans="1:4" x14ac:dyDescent="0.35">
      <c r="A385" s="26" t="s">
        <v>4</v>
      </c>
      <c r="B385" s="132" t="s">
        <v>363</v>
      </c>
      <c r="C385" s="132"/>
      <c r="D385" s="24"/>
    </row>
    <row r="386" spans="1:4" ht="67.2" x14ac:dyDescent="0.35">
      <c r="A386" s="24">
        <v>1</v>
      </c>
      <c r="B386" s="25" t="s">
        <v>661</v>
      </c>
      <c r="C386" s="25" t="s">
        <v>662</v>
      </c>
      <c r="D386" s="117" t="s">
        <v>1568</v>
      </c>
    </row>
    <row r="387" spans="1:4" x14ac:dyDescent="0.35">
      <c r="A387" s="24">
        <v>2</v>
      </c>
      <c r="B387" s="25" t="s">
        <v>32</v>
      </c>
      <c r="C387" s="25" t="s">
        <v>662</v>
      </c>
      <c r="D387" s="24" t="s">
        <v>1567</v>
      </c>
    </row>
    <row r="388" spans="1:4" x14ac:dyDescent="0.35">
      <c r="A388" s="24">
        <v>3</v>
      </c>
      <c r="B388" s="25" t="s">
        <v>33</v>
      </c>
      <c r="C388" s="25" t="s">
        <v>662</v>
      </c>
      <c r="D388" s="24" t="s">
        <v>1506</v>
      </c>
    </row>
    <row r="389" spans="1:4" x14ac:dyDescent="0.35">
      <c r="A389" s="24">
        <v>4</v>
      </c>
      <c r="B389" s="25" t="s">
        <v>663</v>
      </c>
      <c r="C389" s="25" t="s">
        <v>664</v>
      </c>
      <c r="D389" s="24" t="s">
        <v>28</v>
      </c>
    </row>
    <row r="390" spans="1:4" x14ac:dyDescent="0.35">
      <c r="A390" s="24">
        <v>5</v>
      </c>
      <c r="B390" s="25" t="s">
        <v>665</v>
      </c>
      <c r="C390" s="25" t="s">
        <v>666</v>
      </c>
      <c r="D390" s="24" t="s">
        <v>28</v>
      </c>
    </row>
    <row r="391" spans="1:4" ht="33.6" x14ac:dyDescent="0.35">
      <c r="A391" s="24">
        <v>6</v>
      </c>
      <c r="B391" s="25" t="s">
        <v>667</v>
      </c>
      <c r="C391" s="25" t="s">
        <v>39</v>
      </c>
      <c r="D391" s="24" t="s">
        <v>28</v>
      </c>
    </row>
    <row r="392" spans="1:4" ht="33.6" x14ac:dyDescent="0.35">
      <c r="A392" s="24">
        <v>7</v>
      </c>
      <c r="B392" s="25" t="s">
        <v>668</v>
      </c>
      <c r="C392" s="25" t="s">
        <v>669</v>
      </c>
      <c r="D392" s="24" t="s">
        <v>28</v>
      </c>
    </row>
    <row r="393" spans="1:4" ht="33.6" x14ac:dyDescent="0.35">
      <c r="A393" s="24">
        <v>8</v>
      </c>
      <c r="B393" s="25" t="s">
        <v>34</v>
      </c>
      <c r="C393" s="25" t="s">
        <v>41</v>
      </c>
      <c r="D393" s="24" t="s">
        <v>28</v>
      </c>
    </row>
    <row r="394" spans="1:4" x14ac:dyDescent="0.35">
      <c r="A394" s="24">
        <v>9</v>
      </c>
      <c r="B394" s="25" t="s">
        <v>670</v>
      </c>
      <c r="C394" s="25" t="s">
        <v>671</v>
      </c>
      <c r="D394" s="24" t="s">
        <v>28</v>
      </c>
    </row>
    <row r="395" spans="1:4" ht="33.6" x14ac:dyDescent="0.35">
      <c r="A395" s="24">
        <v>10</v>
      </c>
      <c r="B395" s="25" t="s">
        <v>672</v>
      </c>
      <c r="C395" s="25" t="s">
        <v>849</v>
      </c>
      <c r="D395" s="24" t="s">
        <v>28</v>
      </c>
    </row>
    <row r="396" spans="1:4" ht="50.4" x14ac:dyDescent="0.35">
      <c r="A396" s="24">
        <v>11</v>
      </c>
      <c r="B396" s="25" t="s">
        <v>674</v>
      </c>
      <c r="C396" s="25" t="s">
        <v>708</v>
      </c>
      <c r="D396" s="24" t="s">
        <v>1524</v>
      </c>
    </row>
    <row r="397" spans="1:4" x14ac:dyDescent="0.35">
      <c r="A397" s="26" t="s">
        <v>6</v>
      </c>
      <c r="B397" s="132" t="s">
        <v>676</v>
      </c>
      <c r="C397" s="132"/>
      <c r="D397" s="24"/>
    </row>
    <row r="398" spans="1:4" x14ac:dyDescent="0.35">
      <c r="A398" s="24">
        <v>1</v>
      </c>
      <c r="B398" s="25" t="s">
        <v>855</v>
      </c>
      <c r="C398" s="25" t="s">
        <v>856</v>
      </c>
      <c r="D398" s="24" t="s">
        <v>28</v>
      </c>
    </row>
    <row r="399" spans="1:4" ht="67.2" x14ac:dyDescent="0.35">
      <c r="A399" s="24">
        <v>2</v>
      </c>
      <c r="B399" s="25" t="s">
        <v>692</v>
      </c>
      <c r="C399" s="48" t="s">
        <v>974</v>
      </c>
      <c r="D399" s="24" t="s">
        <v>28</v>
      </c>
    </row>
    <row r="400" spans="1:4" x14ac:dyDescent="0.35">
      <c r="A400" s="24">
        <v>3</v>
      </c>
      <c r="B400" s="25" t="s">
        <v>858</v>
      </c>
      <c r="C400" s="25" t="s">
        <v>859</v>
      </c>
      <c r="D400" s="24" t="s">
        <v>28</v>
      </c>
    </row>
    <row r="401" spans="1:4" ht="67.2" x14ac:dyDescent="0.35">
      <c r="A401" s="24">
        <v>4</v>
      </c>
      <c r="B401" s="25" t="s">
        <v>975</v>
      </c>
      <c r="C401" s="25" t="s">
        <v>859</v>
      </c>
      <c r="D401" s="24" t="s">
        <v>28</v>
      </c>
    </row>
    <row r="402" spans="1:4" ht="33.6" x14ac:dyDescent="0.35">
      <c r="A402" s="24">
        <v>5</v>
      </c>
      <c r="B402" s="25" t="s">
        <v>49</v>
      </c>
      <c r="C402" s="25" t="s">
        <v>917</v>
      </c>
      <c r="D402" s="24" t="s">
        <v>28</v>
      </c>
    </row>
    <row r="403" spans="1:4" ht="33.6" x14ac:dyDescent="0.35">
      <c r="A403" s="24">
        <v>6</v>
      </c>
      <c r="B403" s="25" t="s">
        <v>876</v>
      </c>
      <c r="C403" s="25" t="s">
        <v>877</v>
      </c>
      <c r="D403" s="24" t="s">
        <v>28</v>
      </c>
    </row>
    <row r="404" spans="1:4" ht="33.6" x14ac:dyDescent="0.35">
      <c r="A404" s="49" t="s">
        <v>976</v>
      </c>
      <c r="B404" s="145" t="s">
        <v>977</v>
      </c>
      <c r="C404" s="145"/>
      <c r="D404" s="74"/>
    </row>
    <row r="405" spans="1:4" x14ac:dyDescent="0.35">
      <c r="A405" s="26" t="s">
        <v>4</v>
      </c>
      <c r="B405" s="132" t="s">
        <v>363</v>
      </c>
      <c r="C405" s="132"/>
      <c r="D405" s="24"/>
    </row>
    <row r="406" spans="1:4" x14ac:dyDescent="0.35">
      <c r="A406" s="24">
        <v>1</v>
      </c>
      <c r="B406" s="25" t="s">
        <v>661</v>
      </c>
      <c r="C406" s="25" t="s">
        <v>662</v>
      </c>
      <c r="D406" s="112" t="s">
        <v>1541</v>
      </c>
    </row>
    <row r="407" spans="1:4" x14ac:dyDescent="0.35">
      <c r="A407" s="24">
        <v>2</v>
      </c>
      <c r="B407" s="25" t="s">
        <v>32</v>
      </c>
      <c r="C407" s="25" t="s">
        <v>662</v>
      </c>
      <c r="D407" s="112" t="s">
        <v>1542</v>
      </c>
    </row>
    <row r="408" spans="1:4" x14ac:dyDescent="0.35">
      <c r="A408" s="24">
        <v>3</v>
      </c>
      <c r="B408" s="25" t="s">
        <v>33</v>
      </c>
      <c r="C408" s="25" t="s">
        <v>662</v>
      </c>
      <c r="D408" s="24" t="s">
        <v>1543</v>
      </c>
    </row>
    <row r="409" spans="1:4" x14ac:dyDescent="0.35">
      <c r="A409" s="24">
        <v>4</v>
      </c>
      <c r="B409" s="25" t="s">
        <v>663</v>
      </c>
      <c r="C409" s="25" t="s">
        <v>664</v>
      </c>
      <c r="D409" s="24" t="s">
        <v>28</v>
      </c>
    </row>
    <row r="410" spans="1:4" x14ac:dyDescent="0.35">
      <c r="A410" s="24">
        <v>5</v>
      </c>
      <c r="B410" s="25" t="s">
        <v>665</v>
      </c>
      <c r="C410" s="25" t="s">
        <v>666</v>
      </c>
      <c r="D410" s="24" t="s">
        <v>28</v>
      </c>
    </row>
    <row r="411" spans="1:4" ht="33.6" x14ac:dyDescent="0.35">
      <c r="A411" s="24">
        <v>6</v>
      </c>
      <c r="B411" s="25" t="s">
        <v>667</v>
      </c>
      <c r="C411" s="25" t="s">
        <v>39</v>
      </c>
      <c r="D411" s="24" t="s">
        <v>28</v>
      </c>
    </row>
    <row r="412" spans="1:4" ht="33.6" x14ac:dyDescent="0.35">
      <c r="A412" s="24">
        <v>7</v>
      </c>
      <c r="B412" s="25" t="s">
        <v>668</v>
      </c>
      <c r="C412" s="25" t="s">
        <v>669</v>
      </c>
      <c r="D412" s="24" t="s">
        <v>28</v>
      </c>
    </row>
    <row r="413" spans="1:4" ht="33.6" x14ac:dyDescent="0.35">
      <c r="A413" s="24">
        <v>8</v>
      </c>
      <c r="B413" s="25" t="s">
        <v>34</v>
      </c>
      <c r="C413" s="25" t="s">
        <v>41</v>
      </c>
      <c r="D413" s="24" t="s">
        <v>28</v>
      </c>
    </row>
    <row r="414" spans="1:4" x14ac:dyDescent="0.35">
      <c r="A414" s="24">
        <v>9</v>
      </c>
      <c r="B414" s="25" t="s">
        <v>670</v>
      </c>
      <c r="C414" s="25" t="s">
        <v>671</v>
      </c>
      <c r="D414" s="24" t="s">
        <v>28</v>
      </c>
    </row>
    <row r="415" spans="1:4" ht="33.6" x14ac:dyDescent="0.35">
      <c r="A415" s="24">
        <v>10</v>
      </c>
      <c r="B415" s="25" t="s">
        <v>672</v>
      </c>
      <c r="C415" s="25" t="s">
        <v>849</v>
      </c>
      <c r="D415" s="24" t="s">
        <v>28</v>
      </c>
    </row>
    <row r="416" spans="1:4" ht="50.4" x14ac:dyDescent="0.35">
      <c r="A416" s="24">
        <v>11</v>
      </c>
      <c r="B416" s="25" t="s">
        <v>674</v>
      </c>
      <c r="C416" s="25" t="s">
        <v>708</v>
      </c>
      <c r="D416" s="24" t="s">
        <v>1524</v>
      </c>
    </row>
    <row r="417" spans="1:4" x14ac:dyDescent="0.35">
      <c r="A417" s="26" t="s">
        <v>6</v>
      </c>
      <c r="B417" s="132" t="s">
        <v>676</v>
      </c>
      <c r="C417" s="132"/>
      <c r="D417" s="24"/>
    </row>
    <row r="418" spans="1:4" x14ac:dyDescent="0.35">
      <c r="A418" s="24">
        <v>1</v>
      </c>
      <c r="B418" s="25" t="s">
        <v>901</v>
      </c>
      <c r="C418" s="25" t="s">
        <v>978</v>
      </c>
      <c r="D418" s="24" t="s">
        <v>28</v>
      </c>
    </row>
    <row r="419" spans="1:4" ht="33.6" x14ac:dyDescent="0.35">
      <c r="A419" s="24">
        <v>2</v>
      </c>
      <c r="B419" s="25" t="s">
        <v>979</v>
      </c>
      <c r="C419" s="25" t="s">
        <v>980</v>
      </c>
      <c r="D419" s="24" t="s">
        <v>28</v>
      </c>
    </row>
    <row r="420" spans="1:4" ht="50.4" x14ac:dyDescent="0.35">
      <c r="A420" s="24">
        <v>3</v>
      </c>
      <c r="B420" s="25" t="s">
        <v>981</v>
      </c>
      <c r="C420" s="25" t="s">
        <v>859</v>
      </c>
      <c r="D420" s="24" t="s">
        <v>28</v>
      </c>
    </row>
    <row r="421" spans="1:4" ht="33.6" x14ac:dyDescent="0.35">
      <c r="A421" s="24">
        <v>4</v>
      </c>
      <c r="B421" s="25" t="s">
        <v>860</v>
      </c>
      <c r="C421" s="25" t="s">
        <v>859</v>
      </c>
      <c r="D421" s="24" t="s">
        <v>28</v>
      </c>
    </row>
    <row r="422" spans="1:4" ht="33.6" x14ac:dyDescent="0.35">
      <c r="A422" s="24">
        <v>5</v>
      </c>
      <c r="B422" s="25" t="s">
        <v>49</v>
      </c>
      <c r="C422" s="25" t="s">
        <v>982</v>
      </c>
      <c r="D422" s="24" t="s">
        <v>28</v>
      </c>
    </row>
    <row r="423" spans="1:4" ht="33.6" x14ac:dyDescent="0.35">
      <c r="A423" s="24">
        <v>6</v>
      </c>
      <c r="B423" s="25" t="s">
        <v>876</v>
      </c>
      <c r="C423" s="25" t="s">
        <v>877</v>
      </c>
      <c r="D423" s="24" t="s">
        <v>28</v>
      </c>
    </row>
    <row r="424" spans="1:4" ht="33.6" x14ac:dyDescent="0.35">
      <c r="A424" s="26" t="s">
        <v>983</v>
      </c>
      <c r="B424" s="138" t="s">
        <v>984</v>
      </c>
      <c r="C424" s="138"/>
      <c r="D424" s="108"/>
    </row>
    <row r="425" spans="1:4" x14ac:dyDescent="0.35">
      <c r="A425" s="26" t="s">
        <v>4</v>
      </c>
      <c r="B425" s="132" t="s">
        <v>363</v>
      </c>
      <c r="C425" s="132"/>
      <c r="D425" s="24"/>
    </row>
    <row r="426" spans="1:4" ht="50.4" x14ac:dyDescent="0.35">
      <c r="A426" s="24">
        <v>1</v>
      </c>
      <c r="B426" s="25" t="s">
        <v>661</v>
      </c>
      <c r="C426" s="25" t="s">
        <v>662</v>
      </c>
      <c r="D426" s="24" t="s">
        <v>1544</v>
      </c>
    </row>
    <row r="427" spans="1:4" x14ac:dyDescent="0.35">
      <c r="A427" s="24">
        <v>2</v>
      </c>
      <c r="B427" s="25" t="s">
        <v>32</v>
      </c>
      <c r="C427" s="25" t="s">
        <v>662</v>
      </c>
      <c r="D427" s="24" t="s">
        <v>1545</v>
      </c>
    </row>
    <row r="428" spans="1:4" x14ac:dyDescent="0.35">
      <c r="A428" s="24">
        <v>3</v>
      </c>
      <c r="B428" s="25" t="s">
        <v>33</v>
      </c>
      <c r="C428" s="25" t="s">
        <v>662</v>
      </c>
      <c r="D428" s="24" t="s">
        <v>1506</v>
      </c>
    </row>
    <row r="429" spans="1:4" x14ac:dyDescent="0.35">
      <c r="A429" s="24">
        <v>4</v>
      </c>
      <c r="B429" s="25" t="s">
        <v>663</v>
      </c>
      <c r="C429" s="25" t="s">
        <v>664</v>
      </c>
      <c r="D429" s="24" t="s">
        <v>28</v>
      </c>
    </row>
    <row r="430" spans="1:4" x14ac:dyDescent="0.35">
      <c r="A430" s="24">
        <v>5</v>
      </c>
      <c r="B430" s="25" t="s">
        <v>665</v>
      </c>
      <c r="C430" s="25" t="s">
        <v>666</v>
      </c>
      <c r="D430" s="24" t="s">
        <v>28</v>
      </c>
    </row>
    <row r="431" spans="1:4" ht="33.6" x14ac:dyDescent="0.35">
      <c r="A431" s="24">
        <v>6</v>
      </c>
      <c r="B431" s="25" t="s">
        <v>667</v>
      </c>
      <c r="C431" s="25" t="s">
        <v>39</v>
      </c>
      <c r="D431" s="24" t="s">
        <v>28</v>
      </c>
    </row>
    <row r="432" spans="1:4" ht="33.6" x14ac:dyDescent="0.35">
      <c r="A432" s="24">
        <v>7</v>
      </c>
      <c r="B432" s="25" t="s">
        <v>668</v>
      </c>
      <c r="C432" s="25" t="s">
        <v>669</v>
      </c>
      <c r="D432" s="24" t="s">
        <v>28</v>
      </c>
    </row>
    <row r="433" spans="1:4" ht="33.6" x14ac:dyDescent="0.35">
      <c r="A433" s="24">
        <v>8</v>
      </c>
      <c r="B433" s="25" t="s">
        <v>34</v>
      </c>
      <c r="C433" s="25" t="s">
        <v>41</v>
      </c>
      <c r="D433" s="24" t="s">
        <v>28</v>
      </c>
    </row>
    <row r="434" spans="1:4" x14ac:dyDescent="0.35">
      <c r="A434" s="24">
        <v>9</v>
      </c>
      <c r="B434" s="25" t="s">
        <v>670</v>
      </c>
      <c r="C434" s="25" t="s">
        <v>671</v>
      </c>
      <c r="D434" s="24" t="s">
        <v>28</v>
      </c>
    </row>
    <row r="435" spans="1:4" ht="33.6" x14ac:dyDescent="0.35">
      <c r="A435" s="24">
        <v>10</v>
      </c>
      <c r="B435" s="25" t="s">
        <v>672</v>
      </c>
      <c r="C435" s="25" t="s">
        <v>849</v>
      </c>
      <c r="D435" s="24" t="s">
        <v>28</v>
      </c>
    </row>
    <row r="436" spans="1:4" ht="50.4" x14ac:dyDescent="0.35">
      <c r="A436" s="24">
        <v>11</v>
      </c>
      <c r="B436" s="25" t="s">
        <v>674</v>
      </c>
      <c r="C436" s="25" t="s">
        <v>708</v>
      </c>
      <c r="D436" s="24" t="s">
        <v>1524</v>
      </c>
    </row>
    <row r="437" spans="1:4" x14ac:dyDescent="0.35">
      <c r="A437" s="26" t="s">
        <v>6</v>
      </c>
      <c r="B437" s="132" t="s">
        <v>676</v>
      </c>
      <c r="C437" s="132"/>
      <c r="D437" s="24"/>
    </row>
    <row r="438" spans="1:4" ht="84" x14ac:dyDescent="0.35">
      <c r="A438" s="24">
        <v>1</v>
      </c>
      <c r="B438" s="25" t="s">
        <v>5</v>
      </c>
      <c r="C438" s="25" t="s">
        <v>987</v>
      </c>
      <c r="D438" s="24" t="s">
        <v>28</v>
      </c>
    </row>
    <row r="439" spans="1:4" ht="33.6" x14ac:dyDescent="0.35">
      <c r="A439" s="129">
        <v>2</v>
      </c>
      <c r="B439" s="128" t="s">
        <v>985</v>
      </c>
      <c r="C439" s="30" t="s">
        <v>1092</v>
      </c>
      <c r="D439" s="24" t="s">
        <v>28</v>
      </c>
    </row>
    <row r="440" spans="1:4" ht="33.6" x14ac:dyDescent="0.35">
      <c r="A440" s="129"/>
      <c r="B440" s="128"/>
      <c r="C440" s="30" t="s">
        <v>1093</v>
      </c>
      <c r="D440" s="24" t="s">
        <v>28</v>
      </c>
    </row>
    <row r="441" spans="1:4" ht="50.4" x14ac:dyDescent="0.35">
      <c r="A441" s="129"/>
      <c r="B441" s="128"/>
      <c r="C441" s="30" t="s">
        <v>1094</v>
      </c>
      <c r="D441" s="24" t="s">
        <v>28</v>
      </c>
    </row>
    <row r="442" spans="1:4" x14ac:dyDescent="0.35">
      <c r="A442" s="129"/>
      <c r="B442" s="128"/>
      <c r="C442" s="30" t="s">
        <v>1095</v>
      </c>
      <c r="D442" s="24" t="s">
        <v>28</v>
      </c>
    </row>
    <row r="443" spans="1:4" x14ac:dyDescent="0.35">
      <c r="A443" s="129"/>
      <c r="B443" s="128"/>
      <c r="C443" s="30" t="s">
        <v>1096</v>
      </c>
      <c r="D443" s="24" t="s">
        <v>28</v>
      </c>
    </row>
    <row r="444" spans="1:4" ht="33.6" x14ac:dyDescent="0.35">
      <c r="A444" s="24">
        <v>3</v>
      </c>
      <c r="B444" s="25" t="s">
        <v>49</v>
      </c>
      <c r="C444" s="25" t="s">
        <v>982</v>
      </c>
      <c r="D444" s="24" t="s">
        <v>28</v>
      </c>
    </row>
    <row r="445" spans="1:4" ht="33.6" x14ac:dyDescent="0.35">
      <c r="A445" s="24">
        <v>4</v>
      </c>
      <c r="B445" s="25" t="s">
        <v>876</v>
      </c>
      <c r="C445" s="25" t="s">
        <v>986</v>
      </c>
      <c r="D445" s="24" t="s">
        <v>28</v>
      </c>
    </row>
    <row r="446" spans="1:4" ht="33.6" x14ac:dyDescent="0.35">
      <c r="A446" s="26" t="s">
        <v>988</v>
      </c>
      <c r="B446" s="138" t="s">
        <v>989</v>
      </c>
      <c r="C446" s="138"/>
      <c r="D446" s="108"/>
    </row>
    <row r="447" spans="1:4" x14ac:dyDescent="0.35">
      <c r="A447" s="26" t="s">
        <v>4</v>
      </c>
      <c r="B447" s="132" t="s">
        <v>363</v>
      </c>
      <c r="C447" s="132"/>
      <c r="D447" s="24"/>
    </row>
    <row r="448" spans="1:4" x14ac:dyDescent="0.35">
      <c r="A448" s="24">
        <v>1</v>
      </c>
      <c r="B448" s="25" t="s">
        <v>661</v>
      </c>
      <c r="C448" s="25" t="s">
        <v>662</v>
      </c>
      <c r="D448" s="24" t="s">
        <v>1546</v>
      </c>
    </row>
    <row r="449" spans="1:4" x14ac:dyDescent="0.35">
      <c r="A449" s="24">
        <v>2</v>
      </c>
      <c r="B449" s="25" t="s">
        <v>32</v>
      </c>
      <c r="C449" s="25" t="s">
        <v>662</v>
      </c>
      <c r="D449" s="24" t="s">
        <v>1463</v>
      </c>
    </row>
    <row r="450" spans="1:4" x14ac:dyDescent="0.35">
      <c r="A450" s="24">
        <v>3</v>
      </c>
      <c r="B450" s="25" t="s">
        <v>33</v>
      </c>
      <c r="C450" s="25" t="s">
        <v>662</v>
      </c>
      <c r="D450" s="24" t="s">
        <v>1506</v>
      </c>
    </row>
    <row r="451" spans="1:4" x14ac:dyDescent="0.35">
      <c r="A451" s="24">
        <v>4</v>
      </c>
      <c r="B451" s="25" t="s">
        <v>663</v>
      </c>
      <c r="C451" s="25" t="s">
        <v>664</v>
      </c>
      <c r="D451" s="24" t="s">
        <v>28</v>
      </c>
    </row>
    <row r="452" spans="1:4" x14ac:dyDescent="0.35">
      <c r="A452" s="24">
        <v>5</v>
      </c>
      <c r="B452" s="25" t="s">
        <v>665</v>
      </c>
      <c r="C452" s="27" t="s">
        <v>666</v>
      </c>
      <c r="D452" s="24" t="s">
        <v>28</v>
      </c>
    </row>
    <row r="453" spans="1:4" ht="33.6" x14ac:dyDescent="0.35">
      <c r="A453" s="24">
        <v>6</v>
      </c>
      <c r="B453" s="25" t="s">
        <v>667</v>
      </c>
      <c r="C453" s="25" t="s">
        <v>39</v>
      </c>
      <c r="D453" s="24" t="s">
        <v>28</v>
      </c>
    </row>
    <row r="454" spans="1:4" ht="33.6" x14ac:dyDescent="0.35">
      <c r="A454" s="24">
        <v>7</v>
      </c>
      <c r="B454" s="25" t="s">
        <v>668</v>
      </c>
      <c r="C454" s="25" t="s">
        <v>669</v>
      </c>
      <c r="D454" s="24" t="s">
        <v>28</v>
      </c>
    </row>
    <row r="455" spans="1:4" ht="33.6" x14ac:dyDescent="0.35">
      <c r="A455" s="24">
        <v>8</v>
      </c>
      <c r="B455" s="25" t="s">
        <v>34</v>
      </c>
      <c r="C455" s="25" t="s">
        <v>41</v>
      </c>
      <c r="D455" s="24" t="s">
        <v>28</v>
      </c>
    </row>
    <row r="456" spans="1:4" x14ac:dyDescent="0.35">
      <c r="A456" s="24">
        <v>9</v>
      </c>
      <c r="B456" s="25" t="s">
        <v>670</v>
      </c>
      <c r="C456" s="25" t="s">
        <v>671</v>
      </c>
      <c r="D456" s="24" t="s">
        <v>28</v>
      </c>
    </row>
    <row r="457" spans="1:4" ht="33.6" x14ac:dyDescent="0.35">
      <c r="A457" s="24">
        <v>10</v>
      </c>
      <c r="B457" s="25" t="s">
        <v>672</v>
      </c>
      <c r="C457" s="25" t="s">
        <v>849</v>
      </c>
      <c r="D457" s="24" t="s">
        <v>28</v>
      </c>
    </row>
    <row r="458" spans="1:4" ht="50.4" x14ac:dyDescent="0.35">
      <c r="A458" s="24">
        <v>11</v>
      </c>
      <c r="B458" s="25" t="s">
        <v>674</v>
      </c>
      <c r="C458" s="25" t="s">
        <v>708</v>
      </c>
      <c r="D458" s="24" t="s">
        <v>1524</v>
      </c>
    </row>
    <row r="459" spans="1:4" x14ac:dyDescent="0.35">
      <c r="A459" s="26" t="s">
        <v>6</v>
      </c>
      <c r="B459" s="132" t="s">
        <v>676</v>
      </c>
      <c r="C459" s="132"/>
      <c r="D459" s="24"/>
    </row>
    <row r="460" spans="1:4" ht="151.19999999999999" x14ac:dyDescent="0.35">
      <c r="A460" s="129">
        <v>1</v>
      </c>
      <c r="B460" s="128" t="s">
        <v>5</v>
      </c>
      <c r="C460" s="30" t="s">
        <v>1097</v>
      </c>
      <c r="D460" s="24" t="s">
        <v>28</v>
      </c>
    </row>
    <row r="461" spans="1:4" ht="33.6" x14ac:dyDescent="0.35">
      <c r="A461" s="129"/>
      <c r="B461" s="128"/>
      <c r="C461" s="30" t="s">
        <v>1098</v>
      </c>
      <c r="D461" s="24" t="s">
        <v>28</v>
      </c>
    </row>
    <row r="462" spans="1:4" ht="33.6" x14ac:dyDescent="0.35">
      <c r="A462" s="129"/>
      <c r="B462" s="128"/>
      <c r="C462" s="30" t="s">
        <v>1099</v>
      </c>
      <c r="D462" s="24" t="s">
        <v>28</v>
      </c>
    </row>
    <row r="463" spans="1:4" ht="50.4" x14ac:dyDescent="0.35">
      <c r="A463" s="129"/>
      <c r="B463" s="128"/>
      <c r="C463" s="30" t="s">
        <v>1100</v>
      </c>
      <c r="D463" s="24" t="s">
        <v>28</v>
      </c>
    </row>
    <row r="464" spans="1:4" ht="33.6" x14ac:dyDescent="0.35">
      <c r="A464" s="129">
        <v>2</v>
      </c>
      <c r="B464" s="128" t="s">
        <v>990</v>
      </c>
      <c r="C464" s="30" t="s">
        <v>1101</v>
      </c>
      <c r="D464" s="24" t="s">
        <v>28</v>
      </c>
    </row>
    <row r="465" spans="1:4" x14ac:dyDescent="0.35">
      <c r="A465" s="129"/>
      <c r="B465" s="128"/>
      <c r="C465" s="30" t="s">
        <v>1102</v>
      </c>
      <c r="D465" s="24" t="s">
        <v>28</v>
      </c>
    </row>
    <row r="466" spans="1:4" ht="50.4" x14ac:dyDescent="0.35">
      <c r="A466" s="129"/>
      <c r="B466" s="128"/>
      <c r="C466" s="30" t="s">
        <v>1103</v>
      </c>
      <c r="D466" s="24" t="s">
        <v>28</v>
      </c>
    </row>
    <row r="467" spans="1:4" x14ac:dyDescent="0.35">
      <c r="A467" s="129">
        <v>3</v>
      </c>
      <c r="B467" s="128" t="s">
        <v>991</v>
      </c>
      <c r="C467" s="30" t="s">
        <v>1104</v>
      </c>
      <c r="D467" s="24" t="s">
        <v>28</v>
      </c>
    </row>
    <row r="468" spans="1:4" ht="33.6" x14ac:dyDescent="0.35">
      <c r="A468" s="129"/>
      <c r="B468" s="128"/>
      <c r="C468" s="30" t="s">
        <v>1105</v>
      </c>
      <c r="D468" s="24" t="s">
        <v>28</v>
      </c>
    </row>
    <row r="469" spans="1:4" x14ac:dyDescent="0.35">
      <c r="A469" s="129"/>
      <c r="B469" s="128"/>
      <c r="C469" s="30" t="s">
        <v>1106</v>
      </c>
      <c r="D469" s="24" t="s">
        <v>28</v>
      </c>
    </row>
    <row r="470" spans="1:4" x14ac:dyDescent="0.35">
      <c r="A470" s="129"/>
      <c r="B470" s="128"/>
      <c r="C470" s="30" t="s">
        <v>1107</v>
      </c>
      <c r="D470" s="24" t="s">
        <v>28</v>
      </c>
    </row>
    <row r="471" spans="1:4" x14ac:dyDescent="0.35">
      <c r="A471" s="24">
        <v>4</v>
      </c>
      <c r="B471" s="25" t="s">
        <v>876</v>
      </c>
      <c r="C471" s="25" t="s">
        <v>992</v>
      </c>
      <c r="D471" s="24"/>
    </row>
    <row r="472" spans="1:4" ht="33.6" x14ac:dyDescent="0.35">
      <c r="A472" s="26" t="s">
        <v>993</v>
      </c>
      <c r="B472" s="138" t="s">
        <v>994</v>
      </c>
      <c r="C472" s="138"/>
      <c r="D472" s="108"/>
    </row>
    <row r="473" spans="1:4" x14ac:dyDescent="0.35">
      <c r="A473" s="26" t="s">
        <v>4</v>
      </c>
      <c r="B473" s="132" t="s">
        <v>363</v>
      </c>
      <c r="C473" s="132"/>
      <c r="D473" s="24"/>
    </row>
    <row r="474" spans="1:4" ht="33.6" x14ac:dyDescent="0.35">
      <c r="A474" s="24">
        <v>1</v>
      </c>
      <c r="B474" s="25" t="s">
        <v>661</v>
      </c>
      <c r="C474" s="25" t="s">
        <v>662</v>
      </c>
      <c r="D474" s="24" t="s">
        <v>1547</v>
      </c>
    </row>
    <row r="475" spans="1:4" x14ac:dyDescent="0.35">
      <c r="A475" s="24">
        <v>2</v>
      </c>
      <c r="B475" s="25" t="s">
        <v>32</v>
      </c>
      <c r="C475" s="25" t="s">
        <v>662</v>
      </c>
      <c r="D475" s="24" t="s">
        <v>1548</v>
      </c>
    </row>
    <row r="476" spans="1:4" x14ac:dyDescent="0.35">
      <c r="A476" s="24">
        <v>3</v>
      </c>
      <c r="B476" s="25" t="s">
        <v>33</v>
      </c>
      <c r="C476" s="25" t="s">
        <v>662</v>
      </c>
      <c r="D476" s="24" t="s">
        <v>1506</v>
      </c>
    </row>
    <row r="477" spans="1:4" x14ac:dyDescent="0.35">
      <c r="A477" s="24">
        <v>4</v>
      </c>
      <c r="B477" s="25" t="s">
        <v>663</v>
      </c>
      <c r="C477" s="25" t="s">
        <v>664</v>
      </c>
      <c r="D477" s="24" t="s">
        <v>28</v>
      </c>
    </row>
    <row r="478" spans="1:4" x14ac:dyDescent="0.35">
      <c r="A478" s="24">
        <v>5</v>
      </c>
      <c r="B478" s="25" t="s">
        <v>665</v>
      </c>
      <c r="C478" s="25" t="s">
        <v>666</v>
      </c>
      <c r="D478" s="24" t="s">
        <v>28</v>
      </c>
    </row>
    <row r="479" spans="1:4" ht="33.6" x14ac:dyDescent="0.35">
      <c r="A479" s="24">
        <v>6</v>
      </c>
      <c r="B479" s="25" t="s">
        <v>667</v>
      </c>
      <c r="C479" s="25" t="s">
        <v>39</v>
      </c>
      <c r="D479" s="24" t="s">
        <v>28</v>
      </c>
    </row>
    <row r="480" spans="1:4" ht="33.6" x14ac:dyDescent="0.35">
      <c r="A480" s="24">
        <v>7</v>
      </c>
      <c r="B480" s="25" t="s">
        <v>668</v>
      </c>
      <c r="C480" s="25" t="s">
        <v>669</v>
      </c>
      <c r="D480" s="24" t="s">
        <v>28</v>
      </c>
    </row>
    <row r="481" spans="1:4" ht="33.6" x14ac:dyDescent="0.35">
      <c r="A481" s="24">
        <v>8</v>
      </c>
      <c r="B481" s="25" t="s">
        <v>34</v>
      </c>
      <c r="C481" s="25" t="s">
        <v>41</v>
      </c>
      <c r="D481" s="24" t="s">
        <v>28</v>
      </c>
    </row>
    <row r="482" spans="1:4" x14ac:dyDescent="0.35">
      <c r="A482" s="24">
        <v>9</v>
      </c>
      <c r="B482" s="25" t="s">
        <v>670</v>
      </c>
      <c r="C482" s="25" t="s">
        <v>671</v>
      </c>
      <c r="D482" s="24" t="s">
        <v>28</v>
      </c>
    </row>
    <row r="483" spans="1:4" ht="33.6" x14ac:dyDescent="0.35">
      <c r="A483" s="24">
        <v>10</v>
      </c>
      <c r="B483" s="25" t="s">
        <v>672</v>
      </c>
      <c r="C483" s="25" t="s">
        <v>849</v>
      </c>
      <c r="D483" s="24" t="s">
        <v>28</v>
      </c>
    </row>
    <row r="484" spans="1:4" ht="50.4" x14ac:dyDescent="0.35">
      <c r="A484" s="24">
        <v>11</v>
      </c>
      <c r="B484" s="25" t="s">
        <v>674</v>
      </c>
      <c r="C484" s="25" t="s">
        <v>708</v>
      </c>
      <c r="D484" s="24" t="s">
        <v>1538</v>
      </c>
    </row>
    <row r="485" spans="1:4" x14ac:dyDescent="0.35">
      <c r="A485" s="26" t="s">
        <v>6</v>
      </c>
      <c r="B485" s="132" t="s">
        <v>676</v>
      </c>
      <c r="C485" s="132"/>
      <c r="D485" s="24"/>
    </row>
    <row r="486" spans="1:4" ht="33.6" x14ac:dyDescent="0.35">
      <c r="A486" s="129">
        <v>1</v>
      </c>
      <c r="B486" s="128" t="s">
        <v>995</v>
      </c>
      <c r="C486" s="30" t="s">
        <v>1108</v>
      </c>
      <c r="D486" s="24" t="s">
        <v>28</v>
      </c>
    </row>
    <row r="487" spans="1:4" ht="50.4" x14ac:dyDescent="0.35">
      <c r="A487" s="129"/>
      <c r="B487" s="128"/>
      <c r="C487" s="30" t="s">
        <v>1109</v>
      </c>
      <c r="D487" s="24" t="s">
        <v>28</v>
      </c>
    </row>
    <row r="488" spans="1:4" x14ac:dyDescent="0.35">
      <c r="A488" s="129"/>
      <c r="B488" s="128"/>
      <c r="C488" s="30" t="s">
        <v>1110</v>
      </c>
      <c r="D488" s="24" t="s">
        <v>28</v>
      </c>
    </row>
    <row r="489" spans="1:4" x14ac:dyDescent="0.35">
      <c r="A489" s="129"/>
      <c r="B489" s="128"/>
      <c r="C489" s="25" t="s">
        <v>996</v>
      </c>
      <c r="D489" s="24" t="s">
        <v>1549</v>
      </c>
    </row>
    <row r="490" spans="1:4" x14ac:dyDescent="0.35">
      <c r="A490" s="129" t="s">
        <v>838</v>
      </c>
      <c r="B490" s="128" t="s">
        <v>73</v>
      </c>
      <c r="C490" s="30" t="s">
        <v>1111</v>
      </c>
      <c r="D490" s="24" t="s">
        <v>28</v>
      </c>
    </row>
    <row r="491" spans="1:4" ht="33.6" x14ac:dyDescent="0.35">
      <c r="A491" s="129"/>
      <c r="B491" s="128"/>
      <c r="C491" s="30" t="s">
        <v>1112</v>
      </c>
      <c r="D491" s="24" t="s">
        <v>28</v>
      </c>
    </row>
    <row r="492" spans="1:4" ht="50.4" x14ac:dyDescent="0.35">
      <c r="A492" s="129"/>
      <c r="B492" s="128"/>
      <c r="C492" s="30" t="s">
        <v>1113</v>
      </c>
      <c r="D492" s="24" t="s">
        <v>28</v>
      </c>
    </row>
    <row r="493" spans="1:4" ht="50.4" x14ac:dyDescent="0.35">
      <c r="A493" s="129"/>
      <c r="B493" s="128"/>
      <c r="C493" s="30" t="s">
        <v>1114</v>
      </c>
      <c r="D493" s="24" t="s">
        <v>28</v>
      </c>
    </row>
    <row r="494" spans="1:4" ht="33.6" x14ac:dyDescent="0.35">
      <c r="A494" s="129">
        <v>3</v>
      </c>
      <c r="B494" s="128" t="s">
        <v>997</v>
      </c>
      <c r="C494" s="30" t="s">
        <v>1115</v>
      </c>
      <c r="D494" s="24" t="s">
        <v>28</v>
      </c>
    </row>
    <row r="495" spans="1:4" ht="33.6" x14ac:dyDescent="0.35">
      <c r="A495" s="129"/>
      <c r="B495" s="128"/>
      <c r="C495" s="30" t="s">
        <v>1116</v>
      </c>
      <c r="D495" s="24" t="s">
        <v>28</v>
      </c>
    </row>
    <row r="496" spans="1:4" ht="117.6" x14ac:dyDescent="0.35">
      <c r="A496" s="129"/>
      <c r="B496" s="128"/>
      <c r="C496" s="30" t="s">
        <v>1117</v>
      </c>
      <c r="D496" s="24" t="s">
        <v>28</v>
      </c>
    </row>
    <row r="497" spans="1:4" ht="50.4" x14ac:dyDescent="0.35">
      <c r="A497" s="129"/>
      <c r="B497" s="128"/>
      <c r="C497" s="30" t="s">
        <v>1118</v>
      </c>
      <c r="D497" s="24" t="s">
        <v>28</v>
      </c>
    </row>
    <row r="498" spans="1:4" x14ac:dyDescent="0.35">
      <c r="A498" s="24">
        <v>4</v>
      </c>
      <c r="B498" s="25" t="s">
        <v>876</v>
      </c>
      <c r="C498" s="25" t="s">
        <v>998</v>
      </c>
      <c r="D498" s="24" t="s">
        <v>28</v>
      </c>
    </row>
    <row r="499" spans="1:4" x14ac:dyDescent="0.35">
      <c r="A499" s="129">
        <v>5</v>
      </c>
      <c r="B499" s="129" t="s">
        <v>999</v>
      </c>
      <c r="C499" s="30" t="s">
        <v>1119</v>
      </c>
      <c r="D499" s="24" t="s">
        <v>28</v>
      </c>
    </row>
    <row r="500" spans="1:4" ht="33.6" x14ac:dyDescent="0.35">
      <c r="A500" s="129"/>
      <c r="B500" s="129"/>
      <c r="C500" s="30" t="s">
        <v>1120</v>
      </c>
      <c r="D500" s="24" t="s">
        <v>28</v>
      </c>
    </row>
    <row r="501" spans="1:4" ht="50.4" x14ac:dyDescent="0.35">
      <c r="A501" s="129"/>
      <c r="B501" s="129"/>
      <c r="C501" s="30" t="s">
        <v>1121</v>
      </c>
      <c r="D501" s="24" t="s">
        <v>28</v>
      </c>
    </row>
    <row r="502" spans="1:4" ht="33.6" x14ac:dyDescent="0.35">
      <c r="A502" s="129">
        <v>6</v>
      </c>
      <c r="B502" s="129" t="s">
        <v>1000</v>
      </c>
      <c r="C502" s="30" t="s">
        <v>1122</v>
      </c>
      <c r="D502" s="24" t="s">
        <v>28</v>
      </c>
    </row>
    <row r="503" spans="1:4" x14ac:dyDescent="0.35">
      <c r="A503" s="129"/>
      <c r="B503" s="129"/>
      <c r="C503" s="30" t="s">
        <v>1123</v>
      </c>
      <c r="D503" s="24" t="s">
        <v>28</v>
      </c>
    </row>
    <row r="504" spans="1:4" x14ac:dyDescent="0.35">
      <c r="A504" s="129"/>
      <c r="B504" s="129"/>
      <c r="C504" s="30" t="s">
        <v>1124</v>
      </c>
      <c r="D504" s="24" t="s">
        <v>28</v>
      </c>
    </row>
    <row r="505" spans="1:4" x14ac:dyDescent="0.35">
      <c r="A505" s="72"/>
      <c r="B505" s="73"/>
      <c r="C505" s="72"/>
      <c r="D505" s="72"/>
    </row>
    <row r="506" spans="1:4" ht="33.6" x14ac:dyDescent="0.35">
      <c r="A506" s="77" t="s">
        <v>221</v>
      </c>
      <c r="B506" s="76" t="s">
        <v>1001</v>
      </c>
      <c r="C506" s="72"/>
      <c r="D506" s="72"/>
    </row>
    <row r="507" spans="1:4" ht="17.399999999999999" customHeight="1" x14ac:dyDescent="0.35">
      <c r="A507" s="138" t="s">
        <v>0</v>
      </c>
      <c r="B507" s="138" t="s">
        <v>659</v>
      </c>
      <c r="C507" s="138"/>
      <c r="D507" s="138" t="s">
        <v>3</v>
      </c>
    </row>
    <row r="508" spans="1:4" x14ac:dyDescent="0.35">
      <c r="A508" s="145"/>
      <c r="B508" s="49" t="s">
        <v>12</v>
      </c>
      <c r="C508" s="49" t="s">
        <v>225</v>
      </c>
      <c r="D508" s="145"/>
    </row>
    <row r="509" spans="1:4" x14ac:dyDescent="0.35">
      <c r="A509" s="70" t="s">
        <v>1002</v>
      </c>
      <c r="B509" s="138" t="s">
        <v>1003</v>
      </c>
      <c r="C509" s="138"/>
      <c r="D509" s="26"/>
    </row>
    <row r="510" spans="1:4" x14ac:dyDescent="0.35">
      <c r="A510" s="26" t="s">
        <v>4</v>
      </c>
      <c r="B510" s="132" t="s">
        <v>363</v>
      </c>
      <c r="C510" s="132"/>
      <c r="D510" s="24"/>
    </row>
    <row r="511" spans="1:4" x14ac:dyDescent="0.35">
      <c r="A511" s="24">
        <v>1</v>
      </c>
      <c r="B511" s="25" t="s">
        <v>661</v>
      </c>
      <c r="C511" s="25" t="s">
        <v>662</v>
      </c>
      <c r="D511" s="118" t="s">
        <v>1550</v>
      </c>
    </row>
    <row r="512" spans="1:4" x14ac:dyDescent="0.35">
      <c r="A512" s="24">
        <v>2</v>
      </c>
      <c r="B512" s="25" t="s">
        <v>32</v>
      </c>
      <c r="C512" s="25" t="s">
        <v>662</v>
      </c>
      <c r="D512" s="106" t="s">
        <v>1548</v>
      </c>
    </row>
    <row r="513" spans="1:4" x14ac:dyDescent="0.35">
      <c r="A513" s="24">
        <v>3</v>
      </c>
      <c r="B513" s="25" t="s">
        <v>33</v>
      </c>
      <c r="C513" s="25" t="s">
        <v>662</v>
      </c>
      <c r="D513" s="24" t="s">
        <v>1506</v>
      </c>
    </row>
    <row r="514" spans="1:4" x14ac:dyDescent="0.35">
      <c r="A514" s="24">
        <v>4</v>
      </c>
      <c r="B514" s="25" t="s">
        <v>663</v>
      </c>
      <c r="C514" s="25" t="s">
        <v>664</v>
      </c>
      <c r="D514" s="24" t="s">
        <v>28</v>
      </c>
    </row>
    <row r="515" spans="1:4" x14ac:dyDescent="0.35">
      <c r="A515" s="24">
        <v>5</v>
      </c>
      <c r="B515" s="25" t="s">
        <v>665</v>
      </c>
      <c r="C515" s="25" t="s">
        <v>666</v>
      </c>
      <c r="D515" s="24" t="s">
        <v>28</v>
      </c>
    </row>
    <row r="516" spans="1:4" ht="33.6" x14ac:dyDescent="0.35">
      <c r="A516" s="24">
        <v>6</v>
      </c>
      <c r="B516" s="25" t="s">
        <v>667</v>
      </c>
      <c r="C516" s="25" t="s">
        <v>39</v>
      </c>
      <c r="D516" s="24" t="s">
        <v>28</v>
      </c>
    </row>
    <row r="517" spans="1:4" ht="33.6" x14ac:dyDescent="0.35">
      <c r="A517" s="24">
        <v>7</v>
      </c>
      <c r="B517" s="25" t="s">
        <v>668</v>
      </c>
      <c r="C517" s="25" t="s">
        <v>669</v>
      </c>
      <c r="D517" s="24" t="s">
        <v>28</v>
      </c>
    </row>
    <row r="518" spans="1:4" ht="33.6" x14ac:dyDescent="0.35">
      <c r="A518" s="24">
        <v>8</v>
      </c>
      <c r="B518" s="25" t="s">
        <v>34</v>
      </c>
      <c r="C518" s="25" t="s">
        <v>41</v>
      </c>
      <c r="D518" s="24" t="s">
        <v>28</v>
      </c>
    </row>
    <row r="519" spans="1:4" x14ac:dyDescent="0.35">
      <c r="A519" s="24">
        <v>9</v>
      </c>
      <c r="B519" s="25" t="s">
        <v>670</v>
      </c>
      <c r="C519" s="25" t="s">
        <v>671</v>
      </c>
      <c r="D519" s="24" t="s">
        <v>28</v>
      </c>
    </row>
    <row r="520" spans="1:4" ht="33.6" x14ac:dyDescent="0.35">
      <c r="A520" s="24">
        <v>10</v>
      </c>
      <c r="B520" s="25" t="s">
        <v>672</v>
      </c>
      <c r="C520" s="25" t="s">
        <v>849</v>
      </c>
      <c r="D520" s="24" t="s">
        <v>28</v>
      </c>
    </row>
    <row r="521" spans="1:4" ht="50.4" x14ac:dyDescent="0.35">
      <c r="A521" s="24">
        <v>11</v>
      </c>
      <c r="B521" s="25" t="s">
        <v>674</v>
      </c>
      <c r="C521" s="25" t="s">
        <v>708</v>
      </c>
      <c r="D521" s="24" t="s">
        <v>1524</v>
      </c>
    </row>
    <row r="522" spans="1:4" x14ac:dyDescent="0.35">
      <c r="A522" s="26" t="s">
        <v>6</v>
      </c>
      <c r="B522" s="132" t="s">
        <v>676</v>
      </c>
      <c r="C522" s="132"/>
      <c r="D522" s="24"/>
    </row>
    <row r="523" spans="1:4" ht="33.6" x14ac:dyDescent="0.35">
      <c r="A523" s="134">
        <v>1</v>
      </c>
      <c r="B523" s="136" t="s">
        <v>995</v>
      </c>
      <c r="C523" s="7" t="s">
        <v>1125</v>
      </c>
      <c r="D523" s="24"/>
    </row>
    <row r="524" spans="1:4" ht="33.6" x14ac:dyDescent="0.35">
      <c r="A524" s="144"/>
      <c r="B524" s="143"/>
      <c r="C524" s="60" t="s">
        <v>1126</v>
      </c>
      <c r="D524" s="24" t="s">
        <v>28</v>
      </c>
    </row>
    <row r="525" spans="1:4" ht="33.6" x14ac:dyDescent="0.35">
      <c r="A525" s="144"/>
      <c r="B525" s="143"/>
      <c r="C525" s="60" t="s">
        <v>1127</v>
      </c>
      <c r="D525" s="24" t="s">
        <v>28</v>
      </c>
    </row>
    <row r="526" spans="1:4" ht="33.6" x14ac:dyDescent="0.35">
      <c r="A526" s="144"/>
      <c r="B526" s="143"/>
      <c r="C526" s="60" t="s">
        <v>1128</v>
      </c>
      <c r="D526" s="24" t="s">
        <v>28</v>
      </c>
    </row>
    <row r="527" spans="1:4" ht="84" x14ac:dyDescent="0.35">
      <c r="A527" s="144"/>
      <c r="B527" s="143"/>
      <c r="C527" s="48" t="s">
        <v>1004</v>
      </c>
      <c r="D527" s="24" t="s">
        <v>28</v>
      </c>
    </row>
    <row r="528" spans="1:4" x14ac:dyDescent="0.35">
      <c r="A528" s="144"/>
      <c r="B528" s="143"/>
      <c r="C528" s="60" t="s">
        <v>1129</v>
      </c>
      <c r="D528" s="24" t="s">
        <v>28</v>
      </c>
    </row>
    <row r="529" spans="1:4" x14ac:dyDescent="0.35">
      <c r="A529" s="144"/>
      <c r="B529" s="143"/>
      <c r="C529" s="60" t="s">
        <v>1130</v>
      </c>
      <c r="D529" s="24" t="s">
        <v>28</v>
      </c>
    </row>
    <row r="530" spans="1:4" ht="33.6" x14ac:dyDescent="0.35">
      <c r="A530" s="144"/>
      <c r="B530" s="143"/>
      <c r="C530" s="60" t="s">
        <v>1131</v>
      </c>
      <c r="D530" s="24" t="s">
        <v>28</v>
      </c>
    </row>
    <row r="531" spans="1:4" x14ac:dyDescent="0.35">
      <c r="A531" s="144"/>
      <c r="B531" s="143"/>
      <c r="C531" s="60" t="s">
        <v>1132</v>
      </c>
      <c r="D531" s="24" t="s">
        <v>28</v>
      </c>
    </row>
    <row r="532" spans="1:4" x14ac:dyDescent="0.35">
      <c r="A532" s="144"/>
      <c r="B532" s="143"/>
      <c r="C532" s="60" t="s">
        <v>1133</v>
      </c>
      <c r="D532" s="24" t="s">
        <v>28</v>
      </c>
    </row>
    <row r="533" spans="1:4" x14ac:dyDescent="0.35">
      <c r="A533" s="144"/>
      <c r="B533" s="143"/>
      <c r="C533" s="60" t="s">
        <v>1134</v>
      </c>
      <c r="D533" s="24" t="s">
        <v>28</v>
      </c>
    </row>
    <row r="534" spans="1:4" ht="33.6" x14ac:dyDescent="0.35">
      <c r="A534" s="144"/>
      <c r="B534" s="143"/>
      <c r="C534" s="60" t="s">
        <v>1135</v>
      </c>
      <c r="D534" s="24" t="s">
        <v>28</v>
      </c>
    </row>
    <row r="535" spans="1:4" ht="33.6" x14ac:dyDescent="0.35">
      <c r="A535" s="144"/>
      <c r="B535" s="143"/>
      <c r="C535" s="60" t="s">
        <v>1136</v>
      </c>
      <c r="D535" s="24" t="s">
        <v>28</v>
      </c>
    </row>
    <row r="536" spans="1:4" x14ac:dyDescent="0.35">
      <c r="A536" s="144"/>
      <c r="B536" s="143"/>
      <c r="C536" s="60" t="s">
        <v>1137</v>
      </c>
      <c r="D536" s="24" t="s">
        <v>28</v>
      </c>
    </row>
    <row r="537" spans="1:4" x14ac:dyDescent="0.35">
      <c r="A537" s="144"/>
      <c r="B537" s="143"/>
      <c r="C537" s="60" t="s">
        <v>1138</v>
      </c>
      <c r="D537" s="24" t="s">
        <v>28</v>
      </c>
    </row>
    <row r="538" spans="1:4" x14ac:dyDescent="0.35">
      <c r="A538" s="144"/>
      <c r="B538" s="143"/>
      <c r="C538" s="60" t="s">
        <v>1139</v>
      </c>
      <c r="D538" s="24" t="s">
        <v>28</v>
      </c>
    </row>
    <row r="539" spans="1:4" x14ac:dyDescent="0.35">
      <c r="A539" s="144"/>
      <c r="B539" s="143"/>
      <c r="C539" s="60" t="s">
        <v>1140</v>
      </c>
      <c r="D539" s="24" t="s">
        <v>28</v>
      </c>
    </row>
    <row r="540" spans="1:4" ht="33.6" x14ac:dyDescent="0.35">
      <c r="A540" s="144"/>
      <c r="B540" s="143"/>
      <c r="C540" s="7" t="s">
        <v>1141</v>
      </c>
      <c r="D540" s="24"/>
    </row>
    <row r="541" spans="1:4" ht="50.4" x14ac:dyDescent="0.35">
      <c r="A541" s="144"/>
      <c r="B541" s="143"/>
      <c r="C541" s="60" t="s">
        <v>1142</v>
      </c>
      <c r="D541" s="24" t="s">
        <v>28</v>
      </c>
    </row>
    <row r="542" spans="1:4" ht="33.6" x14ac:dyDescent="0.35">
      <c r="A542" s="144"/>
      <c r="B542" s="143"/>
      <c r="C542" s="60" t="s">
        <v>1143</v>
      </c>
      <c r="D542" s="24" t="s">
        <v>28</v>
      </c>
    </row>
    <row r="543" spans="1:4" x14ac:dyDescent="0.35">
      <c r="A543" s="144"/>
      <c r="B543" s="143"/>
      <c r="C543" s="60" t="s">
        <v>1144</v>
      </c>
      <c r="D543" s="24" t="s">
        <v>28</v>
      </c>
    </row>
    <row r="544" spans="1:4" x14ac:dyDescent="0.35">
      <c r="A544" s="144"/>
      <c r="B544" s="143"/>
      <c r="C544" s="60" t="s">
        <v>1145</v>
      </c>
      <c r="D544" s="24" t="s">
        <v>28</v>
      </c>
    </row>
    <row r="545" spans="1:4" ht="67.2" x14ac:dyDescent="0.35">
      <c r="A545" s="144"/>
      <c r="B545" s="143"/>
      <c r="C545" s="60" t="s">
        <v>1146</v>
      </c>
      <c r="D545" s="24" t="s">
        <v>28</v>
      </c>
    </row>
    <row r="546" spans="1:4" ht="33.6" x14ac:dyDescent="0.35">
      <c r="A546" s="144"/>
      <c r="B546" s="143"/>
      <c r="C546" s="60" t="s">
        <v>1147</v>
      </c>
      <c r="D546" s="24" t="s">
        <v>28</v>
      </c>
    </row>
    <row r="547" spans="1:4" x14ac:dyDescent="0.35">
      <c r="A547" s="144"/>
      <c r="B547" s="143"/>
      <c r="C547" s="60" t="s">
        <v>1148</v>
      </c>
      <c r="D547" s="24" t="s">
        <v>28</v>
      </c>
    </row>
    <row r="548" spans="1:4" x14ac:dyDescent="0.35">
      <c r="A548" s="144"/>
      <c r="B548" s="143"/>
      <c r="C548" s="60" t="s">
        <v>1149</v>
      </c>
      <c r="D548" s="24" t="s">
        <v>28</v>
      </c>
    </row>
    <row r="549" spans="1:4" ht="50.4" x14ac:dyDescent="0.35">
      <c r="A549" s="144"/>
      <c r="B549" s="143"/>
      <c r="C549" s="60" t="s">
        <v>1150</v>
      </c>
      <c r="D549" s="24" t="s">
        <v>28</v>
      </c>
    </row>
    <row r="550" spans="1:4" ht="33.6" x14ac:dyDescent="0.35">
      <c r="A550" s="144"/>
      <c r="B550" s="143"/>
      <c r="C550" s="60" t="s">
        <v>1151</v>
      </c>
      <c r="D550" s="24" t="s">
        <v>28</v>
      </c>
    </row>
    <row r="551" spans="1:4" ht="33.6" x14ac:dyDescent="0.35">
      <c r="A551" s="144"/>
      <c r="B551" s="143"/>
      <c r="C551" s="60" t="s">
        <v>1152</v>
      </c>
      <c r="D551" s="24" t="s">
        <v>28</v>
      </c>
    </row>
    <row r="552" spans="1:4" ht="33.6" x14ac:dyDescent="0.35">
      <c r="A552" s="144"/>
      <c r="B552" s="143"/>
      <c r="C552" s="60" t="s">
        <v>1153</v>
      </c>
      <c r="D552" s="24" t="s">
        <v>28</v>
      </c>
    </row>
    <row r="553" spans="1:4" ht="84" x14ac:dyDescent="0.35">
      <c r="A553" s="144"/>
      <c r="B553" s="143"/>
      <c r="C553" s="60" t="s">
        <v>1154</v>
      </c>
      <c r="D553" s="24" t="s">
        <v>28</v>
      </c>
    </row>
    <row r="554" spans="1:4" ht="84" x14ac:dyDescent="0.35">
      <c r="A554" s="144"/>
      <c r="B554" s="143"/>
      <c r="C554" s="60" t="s">
        <v>1155</v>
      </c>
      <c r="D554" s="24" t="s">
        <v>28</v>
      </c>
    </row>
    <row r="555" spans="1:4" ht="50.4" x14ac:dyDescent="0.35">
      <c r="A555" s="144"/>
      <c r="B555" s="143"/>
      <c r="C555" s="60" t="s">
        <v>1156</v>
      </c>
      <c r="D555" s="24" t="s">
        <v>28</v>
      </c>
    </row>
    <row r="556" spans="1:4" ht="84" x14ac:dyDescent="0.35">
      <c r="A556" s="144"/>
      <c r="B556" s="143"/>
      <c r="C556" s="60" t="s">
        <v>1157</v>
      </c>
      <c r="D556" s="24" t="s">
        <v>28</v>
      </c>
    </row>
    <row r="557" spans="1:4" ht="84" x14ac:dyDescent="0.35">
      <c r="A557" s="144"/>
      <c r="B557" s="143"/>
      <c r="C557" s="60" t="s">
        <v>1158</v>
      </c>
      <c r="D557" s="24" t="s">
        <v>28</v>
      </c>
    </row>
    <row r="558" spans="1:4" ht="67.2" x14ac:dyDescent="0.35">
      <c r="A558" s="144"/>
      <c r="B558" s="143"/>
      <c r="C558" s="60" t="s">
        <v>1159</v>
      </c>
      <c r="D558" s="24" t="s">
        <v>28</v>
      </c>
    </row>
    <row r="559" spans="1:4" x14ac:dyDescent="0.35">
      <c r="A559" s="144"/>
      <c r="B559" s="143"/>
      <c r="C559" s="60" t="s">
        <v>1160</v>
      </c>
      <c r="D559" s="24" t="s">
        <v>28</v>
      </c>
    </row>
    <row r="560" spans="1:4" x14ac:dyDescent="0.35">
      <c r="A560" s="144"/>
      <c r="B560" s="143"/>
      <c r="C560" s="7" t="s">
        <v>1161</v>
      </c>
      <c r="D560" s="24" t="s">
        <v>28</v>
      </c>
    </row>
    <row r="561" spans="1:4" ht="50.4" x14ac:dyDescent="0.35">
      <c r="A561" s="144"/>
      <c r="B561" s="143"/>
      <c r="C561" s="60" t="s">
        <v>1162</v>
      </c>
      <c r="D561" s="24" t="s">
        <v>28</v>
      </c>
    </row>
    <row r="562" spans="1:4" ht="50.4" x14ac:dyDescent="0.35">
      <c r="A562" s="144"/>
      <c r="B562" s="143"/>
      <c r="C562" s="60" t="s">
        <v>1163</v>
      </c>
      <c r="D562" s="24" t="s">
        <v>28</v>
      </c>
    </row>
    <row r="563" spans="1:4" x14ac:dyDescent="0.35">
      <c r="A563" s="144"/>
      <c r="B563" s="143"/>
      <c r="C563" s="60" t="s">
        <v>1164</v>
      </c>
      <c r="D563" s="24" t="s">
        <v>28</v>
      </c>
    </row>
    <row r="564" spans="1:4" ht="134.4" x14ac:dyDescent="0.35">
      <c r="A564" s="144"/>
      <c r="B564" s="143"/>
      <c r="C564" s="60" t="s">
        <v>1165</v>
      </c>
      <c r="D564" s="24" t="s">
        <v>28</v>
      </c>
    </row>
    <row r="565" spans="1:4" ht="33.6" x14ac:dyDescent="0.35">
      <c r="A565" s="144"/>
      <c r="B565" s="143"/>
      <c r="C565" s="60" t="s">
        <v>1166</v>
      </c>
      <c r="D565" s="24" t="s">
        <v>28</v>
      </c>
    </row>
    <row r="566" spans="1:4" ht="84" x14ac:dyDescent="0.35">
      <c r="A566" s="144"/>
      <c r="B566" s="143"/>
      <c r="C566" s="60" t="s">
        <v>1167</v>
      </c>
      <c r="D566" s="24" t="s">
        <v>28</v>
      </c>
    </row>
    <row r="567" spans="1:4" x14ac:dyDescent="0.35">
      <c r="A567" s="144"/>
      <c r="B567" s="143"/>
      <c r="C567" s="60" t="s">
        <v>1160</v>
      </c>
      <c r="D567" s="24" t="s">
        <v>28</v>
      </c>
    </row>
    <row r="568" spans="1:4" ht="33.6" x14ac:dyDescent="0.35">
      <c r="A568" s="144"/>
      <c r="B568" s="143"/>
      <c r="C568" s="7" t="s">
        <v>1168</v>
      </c>
      <c r="D568" s="24" t="s">
        <v>28</v>
      </c>
    </row>
    <row r="569" spans="1:4" ht="50.4" x14ac:dyDescent="0.35">
      <c r="A569" s="144"/>
      <c r="B569" s="143"/>
      <c r="C569" s="60" t="s">
        <v>1169</v>
      </c>
      <c r="D569" s="24" t="s">
        <v>28</v>
      </c>
    </row>
    <row r="570" spans="1:4" ht="33.6" x14ac:dyDescent="0.35">
      <c r="A570" s="144"/>
      <c r="B570" s="143"/>
      <c r="C570" s="60" t="s">
        <v>1170</v>
      </c>
      <c r="D570" s="24" t="s">
        <v>28</v>
      </c>
    </row>
    <row r="571" spans="1:4" x14ac:dyDescent="0.35">
      <c r="A571" s="144"/>
      <c r="B571" s="143"/>
      <c r="C571" s="60" t="s">
        <v>1171</v>
      </c>
      <c r="D571" s="24" t="s">
        <v>28</v>
      </c>
    </row>
    <row r="572" spans="1:4" ht="100.8" x14ac:dyDescent="0.35">
      <c r="A572" s="144"/>
      <c r="B572" s="143"/>
      <c r="C572" s="60" t="s">
        <v>1172</v>
      </c>
      <c r="D572" s="24" t="s">
        <v>28</v>
      </c>
    </row>
    <row r="573" spans="1:4" ht="33.6" x14ac:dyDescent="0.35">
      <c r="A573" s="144"/>
      <c r="B573" s="143"/>
      <c r="C573" s="60" t="s">
        <v>1173</v>
      </c>
      <c r="D573" s="24" t="s">
        <v>28</v>
      </c>
    </row>
    <row r="574" spans="1:4" x14ac:dyDescent="0.35">
      <c r="A574" s="144"/>
      <c r="B574" s="143"/>
      <c r="C574" s="60" t="s">
        <v>1174</v>
      </c>
      <c r="D574" s="24" t="s">
        <v>28</v>
      </c>
    </row>
    <row r="575" spans="1:4" x14ac:dyDescent="0.35">
      <c r="A575" s="144"/>
      <c r="B575" s="143"/>
      <c r="C575" s="60" t="s">
        <v>1175</v>
      </c>
      <c r="D575" s="24" t="s">
        <v>28</v>
      </c>
    </row>
    <row r="576" spans="1:4" x14ac:dyDescent="0.35">
      <c r="A576" s="144"/>
      <c r="B576" s="143"/>
      <c r="C576" s="60" t="s">
        <v>1176</v>
      </c>
      <c r="D576" s="24" t="s">
        <v>28</v>
      </c>
    </row>
    <row r="577" spans="1:4" x14ac:dyDescent="0.35">
      <c r="A577" s="144"/>
      <c r="B577" s="143"/>
      <c r="C577" s="60" t="s">
        <v>1177</v>
      </c>
      <c r="D577" s="24" t="s">
        <v>28</v>
      </c>
    </row>
    <row r="578" spans="1:4" x14ac:dyDescent="0.35">
      <c r="A578" s="144"/>
      <c r="B578" s="143"/>
      <c r="C578" s="60" t="s">
        <v>1178</v>
      </c>
      <c r="D578" s="24" t="s">
        <v>28</v>
      </c>
    </row>
    <row r="579" spans="1:4" ht="33.6" x14ac:dyDescent="0.35">
      <c r="A579" s="144"/>
      <c r="B579" s="143"/>
      <c r="C579" s="60" t="s">
        <v>1179</v>
      </c>
      <c r="D579" s="24" t="s">
        <v>28</v>
      </c>
    </row>
    <row r="580" spans="1:4" x14ac:dyDescent="0.35">
      <c r="A580" s="144"/>
      <c r="B580" s="143"/>
      <c r="C580" s="60" t="s">
        <v>1180</v>
      </c>
      <c r="D580" s="24" t="s">
        <v>28</v>
      </c>
    </row>
    <row r="581" spans="1:4" ht="33.6" x14ac:dyDescent="0.35">
      <c r="A581" s="144"/>
      <c r="B581" s="143"/>
      <c r="C581" s="60" t="s">
        <v>1181</v>
      </c>
      <c r="D581" s="24" t="s">
        <v>28</v>
      </c>
    </row>
    <row r="582" spans="1:4" ht="33.6" x14ac:dyDescent="0.35">
      <c r="A582" s="144"/>
      <c r="B582" s="143"/>
      <c r="C582" s="60" t="s">
        <v>1182</v>
      </c>
      <c r="D582" s="24" t="s">
        <v>28</v>
      </c>
    </row>
    <row r="583" spans="1:4" x14ac:dyDescent="0.35">
      <c r="A583" s="144"/>
      <c r="B583" s="143"/>
      <c r="C583" s="60" t="s">
        <v>1183</v>
      </c>
      <c r="D583" s="24" t="s">
        <v>28</v>
      </c>
    </row>
    <row r="584" spans="1:4" x14ac:dyDescent="0.35">
      <c r="A584" s="144"/>
      <c r="B584" s="143"/>
      <c r="C584" s="60" t="s">
        <v>1184</v>
      </c>
      <c r="D584" s="24" t="s">
        <v>28</v>
      </c>
    </row>
    <row r="585" spans="1:4" x14ac:dyDescent="0.35">
      <c r="A585" s="144"/>
      <c r="B585" s="143"/>
      <c r="C585" s="60" t="s">
        <v>1185</v>
      </c>
      <c r="D585" s="24" t="s">
        <v>28</v>
      </c>
    </row>
    <row r="586" spans="1:4" ht="33.6" x14ac:dyDescent="0.35">
      <c r="A586" s="144"/>
      <c r="B586" s="143"/>
      <c r="C586" s="60" t="s">
        <v>1186</v>
      </c>
      <c r="D586" s="24" t="s">
        <v>28</v>
      </c>
    </row>
    <row r="587" spans="1:4" x14ac:dyDescent="0.35">
      <c r="A587" s="144"/>
      <c r="B587" s="143"/>
      <c r="C587" s="60" t="s">
        <v>1187</v>
      </c>
      <c r="D587" s="24" t="s">
        <v>28</v>
      </c>
    </row>
    <row r="588" spans="1:4" x14ac:dyDescent="0.35">
      <c r="A588" s="144"/>
      <c r="B588" s="143"/>
      <c r="C588" s="60" t="s">
        <v>1188</v>
      </c>
      <c r="D588" s="24" t="s">
        <v>28</v>
      </c>
    </row>
    <row r="589" spans="1:4" x14ac:dyDescent="0.35">
      <c r="A589" s="144"/>
      <c r="B589" s="143"/>
      <c r="C589" s="60" t="s">
        <v>1189</v>
      </c>
      <c r="D589" s="24" t="s">
        <v>28</v>
      </c>
    </row>
    <row r="590" spans="1:4" ht="33.6" x14ac:dyDescent="0.35">
      <c r="A590" s="144"/>
      <c r="B590" s="143"/>
      <c r="C590" s="60" t="s">
        <v>1190</v>
      </c>
      <c r="D590" s="24" t="s">
        <v>28</v>
      </c>
    </row>
    <row r="591" spans="1:4" x14ac:dyDescent="0.35">
      <c r="A591" s="144"/>
      <c r="B591" s="143"/>
      <c r="C591" s="60" t="s">
        <v>1191</v>
      </c>
      <c r="D591" s="24" t="s">
        <v>28</v>
      </c>
    </row>
    <row r="592" spans="1:4" x14ac:dyDescent="0.35">
      <c r="A592" s="144"/>
      <c r="B592" s="143"/>
      <c r="C592" s="60" t="s">
        <v>1192</v>
      </c>
      <c r="D592" s="24" t="s">
        <v>28</v>
      </c>
    </row>
    <row r="593" spans="1:4" x14ac:dyDescent="0.35">
      <c r="A593" s="144"/>
      <c r="B593" s="143"/>
      <c r="C593" s="60" t="s">
        <v>1193</v>
      </c>
      <c r="D593" s="24" t="s">
        <v>28</v>
      </c>
    </row>
    <row r="594" spans="1:4" x14ac:dyDescent="0.35">
      <c r="A594" s="144"/>
      <c r="B594" s="143"/>
      <c r="C594" s="60" t="s">
        <v>1194</v>
      </c>
      <c r="D594" s="24" t="s">
        <v>28</v>
      </c>
    </row>
    <row r="595" spans="1:4" x14ac:dyDescent="0.35">
      <c r="A595" s="144"/>
      <c r="B595" s="143"/>
      <c r="C595" s="60" t="s">
        <v>1195</v>
      </c>
      <c r="D595" s="24" t="s">
        <v>28</v>
      </c>
    </row>
    <row r="596" spans="1:4" x14ac:dyDescent="0.35">
      <c r="A596" s="144"/>
      <c r="B596" s="143"/>
      <c r="C596" s="60" t="s">
        <v>1196</v>
      </c>
      <c r="D596" s="24" t="s">
        <v>28</v>
      </c>
    </row>
    <row r="597" spans="1:4" x14ac:dyDescent="0.35">
      <c r="A597" s="144"/>
      <c r="B597" s="143"/>
      <c r="C597" s="60" t="s">
        <v>1197</v>
      </c>
      <c r="D597" s="24" t="s">
        <v>28</v>
      </c>
    </row>
    <row r="598" spans="1:4" x14ac:dyDescent="0.35">
      <c r="A598" s="144"/>
      <c r="B598" s="143"/>
      <c r="C598" s="60" t="s">
        <v>1198</v>
      </c>
      <c r="D598" s="24" t="s">
        <v>28</v>
      </c>
    </row>
    <row r="599" spans="1:4" ht="33.6" x14ac:dyDescent="0.35">
      <c r="A599" s="144"/>
      <c r="B599" s="143"/>
      <c r="C599" s="60" t="s">
        <v>1199</v>
      </c>
      <c r="D599" s="24" t="s">
        <v>28</v>
      </c>
    </row>
    <row r="600" spans="1:4" ht="33.6" x14ac:dyDescent="0.35">
      <c r="A600" s="144"/>
      <c r="B600" s="143"/>
      <c r="C600" s="60" t="s">
        <v>1200</v>
      </c>
      <c r="D600" s="24" t="s">
        <v>28</v>
      </c>
    </row>
    <row r="601" spans="1:4" x14ac:dyDescent="0.35">
      <c r="A601" s="144"/>
      <c r="B601" s="143"/>
      <c r="C601" s="60" t="s">
        <v>1201</v>
      </c>
      <c r="D601" s="24" t="s">
        <v>28</v>
      </c>
    </row>
    <row r="602" spans="1:4" ht="33.6" x14ac:dyDescent="0.35">
      <c r="A602" s="144"/>
      <c r="B602" s="143"/>
      <c r="C602" s="60" t="s">
        <v>1202</v>
      </c>
      <c r="D602" s="24" t="s">
        <v>28</v>
      </c>
    </row>
    <row r="603" spans="1:4" ht="67.2" x14ac:dyDescent="0.35">
      <c r="A603" s="135"/>
      <c r="B603" s="137"/>
      <c r="C603" s="60" t="s">
        <v>1203</v>
      </c>
      <c r="D603" s="24" t="s">
        <v>28</v>
      </c>
    </row>
    <row r="604" spans="1:4" x14ac:dyDescent="0.35">
      <c r="A604" s="85"/>
      <c r="B604" s="85"/>
      <c r="C604" s="60" t="s">
        <v>1160</v>
      </c>
      <c r="D604" s="24" t="s">
        <v>28</v>
      </c>
    </row>
    <row r="605" spans="1:4" ht="33.6" x14ac:dyDescent="0.35">
      <c r="A605" s="24">
        <v>2</v>
      </c>
      <c r="B605" s="25" t="s">
        <v>876</v>
      </c>
      <c r="C605" s="25" t="s">
        <v>1005</v>
      </c>
      <c r="D605" s="24" t="s">
        <v>28</v>
      </c>
    </row>
    <row r="606" spans="1:4" x14ac:dyDescent="0.35">
      <c r="A606" s="70" t="s">
        <v>1006</v>
      </c>
      <c r="B606" s="138" t="s">
        <v>1007</v>
      </c>
      <c r="C606" s="138"/>
      <c r="D606" s="26"/>
    </row>
    <row r="607" spans="1:4" x14ac:dyDescent="0.35">
      <c r="A607" s="26" t="s">
        <v>4</v>
      </c>
      <c r="B607" s="132" t="s">
        <v>363</v>
      </c>
      <c r="C607" s="132"/>
      <c r="D607" s="24"/>
    </row>
    <row r="608" spans="1:4" x14ac:dyDescent="0.35">
      <c r="A608" s="24">
        <v>1</v>
      </c>
      <c r="B608" s="25" t="s">
        <v>661</v>
      </c>
      <c r="C608" s="25" t="s">
        <v>662</v>
      </c>
      <c r="D608" s="119" t="s">
        <v>1579</v>
      </c>
    </row>
    <row r="609" spans="1:4" x14ac:dyDescent="0.35">
      <c r="A609" s="24">
        <v>2</v>
      </c>
      <c r="B609" s="25" t="s">
        <v>32</v>
      </c>
      <c r="C609" s="25" t="s">
        <v>662</v>
      </c>
      <c r="D609" s="106" t="s">
        <v>1548</v>
      </c>
    </row>
    <row r="610" spans="1:4" x14ac:dyDescent="0.35">
      <c r="A610" s="24">
        <v>3</v>
      </c>
      <c r="B610" s="25" t="s">
        <v>33</v>
      </c>
      <c r="C610" s="25" t="s">
        <v>662</v>
      </c>
      <c r="D610" s="24" t="s">
        <v>1506</v>
      </c>
    </row>
    <row r="611" spans="1:4" x14ac:dyDescent="0.35">
      <c r="A611" s="24">
        <v>4</v>
      </c>
      <c r="B611" s="25" t="s">
        <v>663</v>
      </c>
      <c r="C611" s="25" t="s">
        <v>664</v>
      </c>
      <c r="D611" s="24" t="s">
        <v>28</v>
      </c>
    </row>
    <row r="612" spans="1:4" x14ac:dyDescent="0.35">
      <c r="A612" s="24">
        <v>5</v>
      </c>
      <c r="B612" s="25" t="s">
        <v>665</v>
      </c>
      <c r="C612" s="25" t="s">
        <v>666</v>
      </c>
      <c r="D612" s="24" t="s">
        <v>28</v>
      </c>
    </row>
    <row r="613" spans="1:4" ht="33.6" x14ac:dyDescent="0.35">
      <c r="A613" s="24">
        <v>6</v>
      </c>
      <c r="B613" s="25" t="s">
        <v>667</v>
      </c>
      <c r="C613" s="25" t="s">
        <v>39</v>
      </c>
      <c r="D613" s="24" t="s">
        <v>28</v>
      </c>
    </row>
    <row r="614" spans="1:4" ht="33.6" x14ac:dyDescent="0.35">
      <c r="A614" s="24">
        <v>7</v>
      </c>
      <c r="B614" s="25" t="s">
        <v>668</v>
      </c>
      <c r="C614" s="25" t="s">
        <v>669</v>
      </c>
      <c r="D614" s="24" t="s">
        <v>28</v>
      </c>
    </row>
    <row r="615" spans="1:4" ht="33.6" x14ac:dyDescent="0.35">
      <c r="A615" s="24">
        <v>8</v>
      </c>
      <c r="B615" s="25" t="s">
        <v>34</v>
      </c>
      <c r="C615" s="25" t="s">
        <v>41</v>
      </c>
      <c r="D615" s="24" t="s">
        <v>28</v>
      </c>
    </row>
    <row r="616" spans="1:4" x14ac:dyDescent="0.35">
      <c r="A616" s="24">
        <v>9</v>
      </c>
      <c r="B616" s="25" t="s">
        <v>670</v>
      </c>
      <c r="C616" s="25" t="s">
        <v>671</v>
      </c>
      <c r="D616" s="24" t="s">
        <v>28</v>
      </c>
    </row>
    <row r="617" spans="1:4" ht="33.6" x14ac:dyDescent="0.35">
      <c r="A617" s="24">
        <v>10</v>
      </c>
      <c r="B617" s="25" t="s">
        <v>672</v>
      </c>
      <c r="C617" s="25" t="s">
        <v>849</v>
      </c>
      <c r="D617" s="24" t="s">
        <v>28</v>
      </c>
    </row>
    <row r="618" spans="1:4" ht="50.4" x14ac:dyDescent="0.35">
      <c r="A618" s="24">
        <v>11</v>
      </c>
      <c r="B618" s="25" t="s">
        <v>674</v>
      </c>
      <c r="C618" s="25" t="s">
        <v>708</v>
      </c>
      <c r="D618" s="24" t="s">
        <v>28</v>
      </c>
    </row>
    <row r="619" spans="1:4" x14ac:dyDescent="0.35">
      <c r="A619" s="26" t="s">
        <v>6</v>
      </c>
      <c r="B619" s="132" t="s">
        <v>676</v>
      </c>
      <c r="C619" s="132"/>
      <c r="D619" s="24"/>
    </row>
    <row r="620" spans="1:4" ht="33.6" x14ac:dyDescent="0.35">
      <c r="A620" s="129">
        <v>1</v>
      </c>
      <c r="B620" s="128" t="s">
        <v>995</v>
      </c>
      <c r="C620" s="7" t="s">
        <v>1204</v>
      </c>
      <c r="D620" s="24" t="s">
        <v>28</v>
      </c>
    </row>
    <row r="621" spans="1:4" ht="50.4" x14ac:dyDescent="0.35">
      <c r="A621" s="129"/>
      <c r="B621" s="128"/>
      <c r="C621" s="60" t="s">
        <v>1205</v>
      </c>
      <c r="D621" s="24" t="s">
        <v>28</v>
      </c>
    </row>
    <row r="622" spans="1:4" ht="84" x14ac:dyDescent="0.35">
      <c r="A622" s="129"/>
      <c r="B622" s="128"/>
      <c r="C622" s="60" t="s">
        <v>1206</v>
      </c>
      <c r="D622" s="24" t="s">
        <v>28</v>
      </c>
    </row>
    <row r="623" spans="1:4" x14ac:dyDescent="0.35">
      <c r="A623" s="129"/>
      <c r="B623" s="128"/>
      <c r="C623" s="60" t="s">
        <v>1129</v>
      </c>
      <c r="D623" s="24" t="s">
        <v>28</v>
      </c>
    </row>
    <row r="624" spans="1:4" x14ac:dyDescent="0.35">
      <c r="A624" s="129"/>
      <c r="B624" s="128"/>
      <c r="C624" s="60" t="s">
        <v>1130</v>
      </c>
      <c r="D624" s="24" t="s">
        <v>28</v>
      </c>
    </row>
    <row r="625" spans="1:4" ht="33.6" x14ac:dyDescent="0.35">
      <c r="A625" s="129"/>
      <c r="B625" s="128"/>
      <c r="C625" s="60" t="s">
        <v>1131</v>
      </c>
      <c r="D625" s="24" t="s">
        <v>28</v>
      </c>
    </row>
    <row r="626" spans="1:4" x14ac:dyDescent="0.35">
      <c r="A626" s="129"/>
      <c r="B626" s="128"/>
      <c r="C626" s="60" t="s">
        <v>1132</v>
      </c>
      <c r="D626" s="24" t="s">
        <v>28</v>
      </c>
    </row>
    <row r="627" spans="1:4" x14ac:dyDescent="0.35">
      <c r="A627" s="129"/>
      <c r="B627" s="128"/>
      <c r="C627" s="60" t="s">
        <v>1133</v>
      </c>
      <c r="D627" s="24" t="s">
        <v>28</v>
      </c>
    </row>
    <row r="628" spans="1:4" x14ac:dyDescent="0.35">
      <c r="A628" s="129"/>
      <c r="B628" s="128"/>
      <c r="C628" s="60" t="s">
        <v>1134</v>
      </c>
      <c r="D628" s="24" t="s">
        <v>28</v>
      </c>
    </row>
    <row r="629" spans="1:4" ht="33.6" x14ac:dyDescent="0.35">
      <c r="A629" s="129"/>
      <c r="B629" s="128"/>
      <c r="C629" s="60" t="s">
        <v>1135</v>
      </c>
      <c r="D629" s="24" t="s">
        <v>28</v>
      </c>
    </row>
    <row r="630" spans="1:4" ht="33.6" x14ac:dyDescent="0.35">
      <c r="A630" s="129"/>
      <c r="B630" s="128"/>
      <c r="C630" s="60" t="s">
        <v>1136</v>
      </c>
      <c r="D630" s="24" t="s">
        <v>28</v>
      </c>
    </row>
    <row r="631" spans="1:4" x14ac:dyDescent="0.35">
      <c r="A631" s="129"/>
      <c r="B631" s="128"/>
      <c r="C631" s="60" t="s">
        <v>1137</v>
      </c>
      <c r="D631" s="24" t="s">
        <v>28</v>
      </c>
    </row>
    <row r="632" spans="1:4" x14ac:dyDescent="0.35">
      <c r="A632" s="129"/>
      <c r="B632" s="128"/>
      <c r="C632" s="60" t="s">
        <v>1138</v>
      </c>
      <c r="D632" s="24" t="s">
        <v>28</v>
      </c>
    </row>
    <row r="633" spans="1:4" x14ac:dyDescent="0.35">
      <c r="A633" s="129"/>
      <c r="B633" s="128"/>
      <c r="C633" s="60" t="s">
        <v>1139</v>
      </c>
      <c r="D633" s="24" t="s">
        <v>28</v>
      </c>
    </row>
    <row r="634" spans="1:4" x14ac:dyDescent="0.35">
      <c r="A634" s="129"/>
      <c r="B634" s="128"/>
      <c r="C634" s="60" t="s">
        <v>1140</v>
      </c>
      <c r="D634" s="24" t="s">
        <v>28</v>
      </c>
    </row>
    <row r="635" spans="1:4" x14ac:dyDescent="0.35">
      <c r="A635" s="129"/>
      <c r="B635" s="128"/>
      <c r="C635" s="7" t="s">
        <v>1207</v>
      </c>
      <c r="D635" s="24" t="s">
        <v>28</v>
      </c>
    </row>
    <row r="636" spans="1:4" ht="50.4" x14ac:dyDescent="0.35">
      <c r="A636" s="129"/>
      <c r="B636" s="128"/>
      <c r="C636" s="60" t="s">
        <v>1142</v>
      </c>
      <c r="D636" s="24" t="s">
        <v>28</v>
      </c>
    </row>
    <row r="637" spans="1:4" ht="84" x14ac:dyDescent="0.35">
      <c r="A637" s="129"/>
      <c r="B637" s="128"/>
      <c r="C637" s="60" t="s">
        <v>1158</v>
      </c>
      <c r="D637" s="24" t="s">
        <v>28</v>
      </c>
    </row>
    <row r="638" spans="1:4" ht="67.2" x14ac:dyDescent="0.35">
      <c r="A638" s="129"/>
      <c r="B638" s="128"/>
      <c r="C638" s="60" t="s">
        <v>1159</v>
      </c>
      <c r="D638" s="24" t="s">
        <v>28</v>
      </c>
    </row>
    <row r="639" spans="1:4" ht="33.6" x14ac:dyDescent="0.35">
      <c r="A639" s="129"/>
      <c r="B639" s="128"/>
      <c r="C639" s="60" t="s">
        <v>1143</v>
      </c>
      <c r="D639" s="24" t="s">
        <v>28</v>
      </c>
    </row>
    <row r="640" spans="1:4" x14ac:dyDescent="0.35">
      <c r="A640" s="129"/>
      <c r="B640" s="128"/>
      <c r="C640" s="60" t="s">
        <v>1144</v>
      </c>
      <c r="D640" s="24" t="s">
        <v>28</v>
      </c>
    </row>
    <row r="641" spans="1:4" x14ac:dyDescent="0.35">
      <c r="A641" s="129"/>
      <c r="B641" s="128"/>
      <c r="C641" s="60" t="s">
        <v>1208</v>
      </c>
      <c r="D641" s="24" t="s">
        <v>28</v>
      </c>
    </row>
    <row r="642" spans="1:4" ht="67.2" x14ac:dyDescent="0.35">
      <c r="A642" s="129"/>
      <c r="B642" s="128"/>
      <c r="C642" s="60" t="s">
        <v>1209</v>
      </c>
      <c r="D642" s="24" t="s">
        <v>28</v>
      </c>
    </row>
    <row r="643" spans="1:4" x14ac:dyDescent="0.35">
      <c r="A643" s="129"/>
      <c r="B643" s="128"/>
      <c r="C643" s="60" t="s">
        <v>1210</v>
      </c>
      <c r="D643" s="24" t="s">
        <v>28</v>
      </c>
    </row>
    <row r="644" spans="1:4" x14ac:dyDescent="0.35">
      <c r="A644" s="129"/>
      <c r="B644" s="128"/>
      <c r="C644" s="60" t="s">
        <v>1149</v>
      </c>
      <c r="D644" s="24" t="s">
        <v>28</v>
      </c>
    </row>
    <row r="645" spans="1:4" ht="50.4" x14ac:dyDescent="0.35">
      <c r="A645" s="129"/>
      <c r="B645" s="128"/>
      <c r="C645" s="60" t="s">
        <v>1150</v>
      </c>
      <c r="D645" s="24" t="s">
        <v>28</v>
      </c>
    </row>
    <row r="646" spans="1:4" ht="33.6" x14ac:dyDescent="0.35">
      <c r="A646" s="129"/>
      <c r="B646" s="128"/>
      <c r="C646" s="60" t="s">
        <v>1151</v>
      </c>
      <c r="D646" s="24" t="s">
        <v>28</v>
      </c>
    </row>
    <row r="647" spans="1:4" ht="33.6" x14ac:dyDescent="0.35">
      <c r="A647" s="129"/>
      <c r="B647" s="128"/>
      <c r="C647" s="60" t="s">
        <v>1152</v>
      </c>
      <c r="D647" s="24" t="s">
        <v>28</v>
      </c>
    </row>
    <row r="648" spans="1:4" ht="33.6" x14ac:dyDescent="0.35">
      <c r="A648" s="129"/>
      <c r="B648" s="128"/>
      <c r="C648" s="60" t="s">
        <v>1153</v>
      </c>
      <c r="D648" s="24" t="s">
        <v>28</v>
      </c>
    </row>
    <row r="649" spans="1:4" ht="84" x14ac:dyDescent="0.35">
      <c r="A649" s="129"/>
      <c r="B649" s="128"/>
      <c r="C649" s="60" t="s">
        <v>1154</v>
      </c>
      <c r="D649" s="24" t="s">
        <v>28</v>
      </c>
    </row>
    <row r="650" spans="1:4" ht="84" x14ac:dyDescent="0.35">
      <c r="A650" s="129"/>
      <c r="B650" s="128"/>
      <c r="C650" s="60" t="s">
        <v>1211</v>
      </c>
      <c r="D650" s="24" t="s">
        <v>28</v>
      </c>
    </row>
    <row r="651" spans="1:4" ht="50.4" x14ac:dyDescent="0.35">
      <c r="A651" s="129"/>
      <c r="B651" s="128"/>
      <c r="C651" s="60" t="s">
        <v>1156</v>
      </c>
      <c r="D651" s="24" t="s">
        <v>28</v>
      </c>
    </row>
    <row r="652" spans="1:4" ht="117.6" x14ac:dyDescent="0.35">
      <c r="A652" s="129"/>
      <c r="B652" s="128"/>
      <c r="C652" s="60" t="s">
        <v>1212</v>
      </c>
      <c r="D652" s="24" t="s">
        <v>28</v>
      </c>
    </row>
    <row r="653" spans="1:4" x14ac:dyDescent="0.35">
      <c r="A653" s="129"/>
      <c r="B653" s="128"/>
      <c r="C653" s="60" t="s">
        <v>1160</v>
      </c>
      <c r="D653" s="24" t="s">
        <v>28</v>
      </c>
    </row>
    <row r="654" spans="1:4" x14ac:dyDescent="0.35">
      <c r="A654" s="129"/>
      <c r="B654" s="128"/>
      <c r="C654" s="7" t="s">
        <v>1213</v>
      </c>
      <c r="D654" s="24" t="s">
        <v>28</v>
      </c>
    </row>
    <row r="655" spans="1:4" ht="50.4" x14ac:dyDescent="0.35">
      <c r="A655" s="129"/>
      <c r="B655" s="128"/>
      <c r="C655" s="60" t="s">
        <v>1142</v>
      </c>
      <c r="D655" s="24" t="s">
        <v>28</v>
      </c>
    </row>
    <row r="656" spans="1:4" ht="67.2" x14ac:dyDescent="0.35">
      <c r="A656" s="129"/>
      <c r="B656" s="128"/>
      <c r="C656" s="60" t="s">
        <v>1214</v>
      </c>
      <c r="D656" s="24" t="s">
        <v>28</v>
      </c>
    </row>
    <row r="657" spans="1:4" x14ac:dyDescent="0.35">
      <c r="A657" s="129"/>
      <c r="B657" s="128"/>
      <c r="C657" s="60" t="s">
        <v>1215</v>
      </c>
      <c r="D657" s="24" t="s">
        <v>28</v>
      </c>
    </row>
    <row r="658" spans="1:4" ht="33.6" x14ac:dyDescent="0.35">
      <c r="A658" s="129"/>
      <c r="B658" s="128"/>
      <c r="C658" s="60" t="s">
        <v>1216</v>
      </c>
      <c r="D658" s="24" t="s">
        <v>28</v>
      </c>
    </row>
    <row r="659" spans="1:4" ht="67.2" x14ac:dyDescent="0.35">
      <c r="A659" s="129"/>
      <c r="B659" s="128"/>
      <c r="C659" s="60" t="s">
        <v>1217</v>
      </c>
      <c r="D659" s="24" t="s">
        <v>28</v>
      </c>
    </row>
    <row r="660" spans="1:4" ht="33.6" x14ac:dyDescent="0.35">
      <c r="A660" s="129"/>
      <c r="B660" s="128"/>
      <c r="C660" s="60" t="s">
        <v>1218</v>
      </c>
      <c r="D660" s="24" t="s">
        <v>28</v>
      </c>
    </row>
    <row r="661" spans="1:4" ht="33.6" x14ac:dyDescent="0.35">
      <c r="A661" s="129"/>
      <c r="B661" s="128"/>
      <c r="C661" s="60" t="s">
        <v>1219</v>
      </c>
      <c r="D661" s="24" t="s">
        <v>28</v>
      </c>
    </row>
    <row r="662" spans="1:4" ht="84" x14ac:dyDescent="0.35">
      <c r="A662" s="129"/>
      <c r="B662" s="128"/>
      <c r="C662" s="60" t="s">
        <v>1220</v>
      </c>
      <c r="D662" s="24" t="s">
        <v>28</v>
      </c>
    </row>
    <row r="663" spans="1:4" ht="33.6" x14ac:dyDescent="0.35">
      <c r="A663" s="129"/>
      <c r="B663" s="128"/>
      <c r="C663" s="60" t="s">
        <v>1221</v>
      </c>
      <c r="D663" s="24" t="s">
        <v>28</v>
      </c>
    </row>
    <row r="664" spans="1:4" x14ac:dyDescent="0.35">
      <c r="A664" s="129"/>
      <c r="B664" s="128"/>
      <c r="C664" s="60" t="s">
        <v>1222</v>
      </c>
      <c r="D664" s="24" t="s">
        <v>28</v>
      </c>
    </row>
    <row r="665" spans="1:4" x14ac:dyDescent="0.35">
      <c r="A665" s="129"/>
      <c r="B665" s="128"/>
      <c r="C665" s="60" t="s">
        <v>1223</v>
      </c>
      <c r="D665" s="24" t="s">
        <v>28</v>
      </c>
    </row>
    <row r="666" spans="1:4" ht="33.6" x14ac:dyDescent="0.35">
      <c r="A666" s="129"/>
      <c r="B666" s="128"/>
      <c r="C666" s="60" t="s">
        <v>1224</v>
      </c>
      <c r="D666" s="24" t="s">
        <v>28</v>
      </c>
    </row>
    <row r="667" spans="1:4" x14ac:dyDescent="0.35">
      <c r="A667" s="129"/>
      <c r="B667" s="128"/>
      <c r="C667" s="60" t="s">
        <v>1225</v>
      </c>
      <c r="D667" s="24" t="s">
        <v>28</v>
      </c>
    </row>
    <row r="668" spans="1:4" ht="33.6" x14ac:dyDescent="0.35">
      <c r="A668" s="129"/>
      <c r="B668" s="128"/>
      <c r="C668" s="60" t="s">
        <v>1226</v>
      </c>
      <c r="D668" s="24" t="s">
        <v>28</v>
      </c>
    </row>
    <row r="669" spans="1:4" x14ac:dyDescent="0.35">
      <c r="A669" s="129"/>
      <c r="B669" s="128"/>
      <c r="C669" s="60" t="s">
        <v>1160</v>
      </c>
      <c r="D669" s="24" t="s">
        <v>28</v>
      </c>
    </row>
    <row r="670" spans="1:4" x14ac:dyDescent="0.35">
      <c r="A670" s="129"/>
      <c r="B670" s="128"/>
      <c r="C670" s="7" t="s">
        <v>1227</v>
      </c>
      <c r="D670" s="24" t="s">
        <v>28</v>
      </c>
    </row>
    <row r="671" spans="1:4" ht="50.4" x14ac:dyDescent="0.35">
      <c r="A671" s="129"/>
      <c r="B671" s="128"/>
      <c r="C671" s="60" t="s">
        <v>1169</v>
      </c>
      <c r="D671" s="24" t="s">
        <v>28</v>
      </c>
    </row>
    <row r="672" spans="1:4" ht="33.6" x14ac:dyDescent="0.35">
      <c r="A672" s="129"/>
      <c r="B672" s="128"/>
      <c r="C672" s="60" t="s">
        <v>1228</v>
      </c>
      <c r="D672" s="24" t="s">
        <v>28</v>
      </c>
    </row>
    <row r="673" spans="1:4" ht="84" x14ac:dyDescent="0.35">
      <c r="A673" s="129"/>
      <c r="B673" s="128"/>
      <c r="C673" s="60" t="s">
        <v>1229</v>
      </c>
      <c r="D673" s="24" t="s">
        <v>28</v>
      </c>
    </row>
    <row r="674" spans="1:4" ht="33.6" x14ac:dyDescent="0.35">
      <c r="A674" s="129"/>
      <c r="B674" s="128"/>
      <c r="C674" s="60" t="s">
        <v>1230</v>
      </c>
      <c r="D674" s="24" t="s">
        <v>28</v>
      </c>
    </row>
    <row r="675" spans="1:4" ht="33.6" x14ac:dyDescent="0.35">
      <c r="A675" s="129"/>
      <c r="B675" s="128"/>
      <c r="C675" s="60" t="s">
        <v>1231</v>
      </c>
      <c r="D675" s="24" t="s">
        <v>28</v>
      </c>
    </row>
    <row r="676" spans="1:4" x14ac:dyDescent="0.35">
      <c r="A676" s="129"/>
      <c r="B676" s="128"/>
      <c r="C676" s="60" t="s">
        <v>1232</v>
      </c>
      <c r="D676" s="24" t="s">
        <v>28</v>
      </c>
    </row>
    <row r="677" spans="1:4" x14ac:dyDescent="0.35">
      <c r="A677" s="129"/>
      <c r="B677" s="128"/>
      <c r="C677" s="60" t="s">
        <v>1233</v>
      </c>
      <c r="D677" s="24" t="s">
        <v>28</v>
      </c>
    </row>
    <row r="678" spans="1:4" x14ac:dyDescent="0.35">
      <c r="A678" s="129"/>
      <c r="B678" s="128"/>
      <c r="C678" s="60" t="s">
        <v>1234</v>
      </c>
      <c r="D678" s="24" t="s">
        <v>28</v>
      </c>
    </row>
    <row r="679" spans="1:4" x14ac:dyDescent="0.35">
      <c r="A679" s="129"/>
      <c r="B679" s="128"/>
      <c r="C679" s="60" t="s">
        <v>1235</v>
      </c>
      <c r="D679" s="24" t="s">
        <v>28</v>
      </c>
    </row>
    <row r="680" spans="1:4" x14ac:dyDescent="0.35">
      <c r="A680" s="129"/>
      <c r="B680" s="128"/>
      <c r="C680" s="60" t="s">
        <v>1236</v>
      </c>
      <c r="D680" s="24" t="s">
        <v>28</v>
      </c>
    </row>
    <row r="681" spans="1:4" x14ac:dyDescent="0.35">
      <c r="A681" s="129"/>
      <c r="B681" s="128"/>
      <c r="C681" s="60" t="s">
        <v>1237</v>
      </c>
      <c r="D681" s="24" t="s">
        <v>28</v>
      </c>
    </row>
    <row r="682" spans="1:4" x14ac:dyDescent="0.35">
      <c r="A682" s="129"/>
      <c r="B682" s="128"/>
      <c r="C682" s="60" t="s">
        <v>1238</v>
      </c>
      <c r="D682" s="24" t="s">
        <v>28</v>
      </c>
    </row>
    <row r="683" spans="1:4" x14ac:dyDescent="0.35">
      <c r="A683" s="129"/>
      <c r="B683" s="128"/>
      <c r="C683" s="60" t="s">
        <v>1239</v>
      </c>
      <c r="D683" s="24" t="s">
        <v>28</v>
      </c>
    </row>
    <row r="684" spans="1:4" ht="33.6" x14ac:dyDescent="0.35">
      <c r="A684" s="129"/>
      <c r="B684" s="128"/>
      <c r="C684" s="60" t="s">
        <v>1240</v>
      </c>
      <c r="D684" s="24" t="s">
        <v>28</v>
      </c>
    </row>
    <row r="685" spans="1:4" x14ac:dyDescent="0.35">
      <c r="A685" s="129"/>
      <c r="B685" s="128"/>
      <c r="C685" s="60" t="s">
        <v>1241</v>
      </c>
      <c r="D685" s="24" t="s">
        <v>28</v>
      </c>
    </row>
    <row r="686" spans="1:4" x14ac:dyDescent="0.35">
      <c r="A686" s="129"/>
      <c r="B686" s="128"/>
      <c r="C686" s="60" t="s">
        <v>1242</v>
      </c>
      <c r="D686" s="24" t="s">
        <v>28</v>
      </c>
    </row>
    <row r="687" spans="1:4" x14ac:dyDescent="0.35">
      <c r="A687" s="129"/>
      <c r="B687" s="128"/>
      <c r="C687" s="60" t="s">
        <v>1243</v>
      </c>
      <c r="D687" s="24" t="s">
        <v>28</v>
      </c>
    </row>
    <row r="688" spans="1:4" x14ac:dyDescent="0.35">
      <c r="A688" s="129"/>
      <c r="B688" s="128"/>
      <c r="C688" s="60" t="s">
        <v>1180</v>
      </c>
      <c r="D688" s="24" t="s">
        <v>28</v>
      </c>
    </row>
    <row r="689" spans="1:4" ht="33.6" x14ac:dyDescent="0.35">
      <c r="A689" s="129"/>
      <c r="B689" s="128"/>
      <c r="C689" s="60" t="s">
        <v>1244</v>
      </c>
      <c r="D689" s="24" t="s">
        <v>28</v>
      </c>
    </row>
    <row r="690" spans="1:4" ht="33.6" x14ac:dyDescent="0.35">
      <c r="A690" s="129"/>
      <c r="B690" s="128"/>
      <c r="C690" s="60" t="s">
        <v>1245</v>
      </c>
      <c r="D690" s="24" t="s">
        <v>28</v>
      </c>
    </row>
    <row r="691" spans="1:4" x14ac:dyDescent="0.35">
      <c r="A691" s="129"/>
      <c r="B691" s="128"/>
      <c r="C691" s="60" t="s">
        <v>1246</v>
      </c>
      <c r="D691" s="24" t="s">
        <v>28</v>
      </c>
    </row>
    <row r="692" spans="1:4" x14ac:dyDescent="0.35">
      <c r="A692" s="129"/>
      <c r="B692" s="128"/>
      <c r="C692" s="60" t="s">
        <v>1247</v>
      </c>
      <c r="D692" s="24" t="s">
        <v>28</v>
      </c>
    </row>
    <row r="693" spans="1:4" ht="50.4" x14ac:dyDescent="0.35">
      <c r="A693" s="129"/>
      <c r="B693" s="128"/>
      <c r="C693" s="60" t="s">
        <v>1248</v>
      </c>
      <c r="D693" s="24" t="s">
        <v>28</v>
      </c>
    </row>
    <row r="694" spans="1:4" ht="67.2" x14ac:dyDescent="0.35">
      <c r="A694" s="129"/>
      <c r="B694" s="128"/>
      <c r="C694" s="60" t="s">
        <v>1203</v>
      </c>
      <c r="D694" s="24" t="s">
        <v>28</v>
      </c>
    </row>
    <row r="695" spans="1:4" x14ac:dyDescent="0.35">
      <c r="A695" s="129"/>
      <c r="B695" s="128"/>
      <c r="C695" s="60" t="s">
        <v>1160</v>
      </c>
      <c r="D695" s="24" t="s">
        <v>28</v>
      </c>
    </row>
    <row r="696" spans="1:4" ht="33.6" x14ac:dyDescent="0.35">
      <c r="A696" s="24">
        <v>2</v>
      </c>
      <c r="B696" s="25" t="s">
        <v>876</v>
      </c>
      <c r="C696" s="25" t="s">
        <v>1005</v>
      </c>
      <c r="D696" s="24" t="s">
        <v>28</v>
      </c>
    </row>
    <row r="697" spans="1:4" x14ac:dyDescent="0.35">
      <c r="A697" s="70" t="s">
        <v>1010</v>
      </c>
      <c r="B697" s="138" t="s">
        <v>1008</v>
      </c>
      <c r="C697" s="138"/>
      <c r="D697" s="26"/>
    </row>
    <row r="698" spans="1:4" x14ac:dyDescent="0.35">
      <c r="A698" s="26" t="s">
        <v>4</v>
      </c>
      <c r="B698" s="132" t="s">
        <v>363</v>
      </c>
      <c r="C698" s="132"/>
      <c r="D698" s="24"/>
    </row>
    <row r="699" spans="1:4" x14ac:dyDescent="0.35">
      <c r="A699" s="24">
        <v>1</v>
      </c>
      <c r="B699" s="25" t="s">
        <v>661</v>
      </c>
      <c r="C699" s="25" t="s">
        <v>662</v>
      </c>
      <c r="D699" s="112" t="s">
        <v>1551</v>
      </c>
    </row>
    <row r="700" spans="1:4" x14ac:dyDescent="0.35">
      <c r="A700" s="24">
        <v>2</v>
      </c>
      <c r="B700" s="25" t="s">
        <v>32</v>
      </c>
      <c r="C700" s="25" t="s">
        <v>662</v>
      </c>
      <c r="D700" s="24" t="s">
        <v>1552</v>
      </c>
    </row>
    <row r="701" spans="1:4" x14ac:dyDescent="0.35">
      <c r="A701" s="24">
        <v>3</v>
      </c>
      <c r="B701" s="25" t="s">
        <v>33</v>
      </c>
      <c r="C701" s="25" t="s">
        <v>662</v>
      </c>
      <c r="D701" s="24" t="s">
        <v>1506</v>
      </c>
    </row>
    <row r="702" spans="1:4" x14ac:dyDescent="0.35">
      <c r="A702" s="24">
        <v>4</v>
      </c>
      <c r="B702" s="25" t="s">
        <v>663</v>
      </c>
      <c r="C702" s="25" t="s">
        <v>664</v>
      </c>
      <c r="D702" s="24" t="s">
        <v>28</v>
      </c>
    </row>
    <row r="703" spans="1:4" x14ac:dyDescent="0.35">
      <c r="A703" s="24">
        <v>5</v>
      </c>
      <c r="B703" s="25" t="s">
        <v>665</v>
      </c>
      <c r="C703" s="25" t="s">
        <v>666</v>
      </c>
      <c r="D703" s="24" t="s">
        <v>28</v>
      </c>
    </row>
    <row r="704" spans="1:4" ht="33.6" x14ac:dyDescent="0.35">
      <c r="A704" s="24">
        <v>6</v>
      </c>
      <c r="B704" s="25" t="s">
        <v>667</v>
      </c>
      <c r="C704" s="25" t="s">
        <v>39</v>
      </c>
      <c r="D704" s="24" t="s">
        <v>28</v>
      </c>
    </row>
    <row r="705" spans="1:4" ht="33.6" x14ac:dyDescent="0.35">
      <c r="A705" s="24">
        <v>7</v>
      </c>
      <c r="B705" s="25" t="s">
        <v>668</v>
      </c>
      <c r="C705" s="25" t="s">
        <v>669</v>
      </c>
      <c r="D705" s="24" t="s">
        <v>28</v>
      </c>
    </row>
    <row r="706" spans="1:4" ht="33.6" x14ac:dyDescent="0.35">
      <c r="A706" s="24">
        <v>8</v>
      </c>
      <c r="B706" s="25" t="s">
        <v>34</v>
      </c>
      <c r="C706" s="25" t="s">
        <v>41</v>
      </c>
      <c r="D706" s="24" t="s">
        <v>28</v>
      </c>
    </row>
    <row r="707" spans="1:4" x14ac:dyDescent="0.35">
      <c r="A707" s="24">
        <v>9</v>
      </c>
      <c r="B707" s="25" t="s">
        <v>670</v>
      </c>
      <c r="C707" s="25" t="s">
        <v>671</v>
      </c>
      <c r="D707" s="24" t="s">
        <v>28</v>
      </c>
    </row>
    <row r="708" spans="1:4" ht="33.6" x14ac:dyDescent="0.35">
      <c r="A708" s="24">
        <v>10</v>
      </c>
      <c r="B708" s="25" t="s">
        <v>672</v>
      </c>
      <c r="C708" s="25" t="s">
        <v>849</v>
      </c>
      <c r="D708" s="24" t="s">
        <v>28</v>
      </c>
    </row>
    <row r="709" spans="1:4" ht="50.4" x14ac:dyDescent="0.35">
      <c r="A709" s="24">
        <v>11</v>
      </c>
      <c r="B709" s="25" t="s">
        <v>674</v>
      </c>
      <c r="C709" s="25" t="s">
        <v>708</v>
      </c>
      <c r="D709" s="24" t="s">
        <v>1524</v>
      </c>
    </row>
    <row r="710" spans="1:4" x14ac:dyDescent="0.35">
      <c r="A710" s="26" t="s">
        <v>6</v>
      </c>
      <c r="B710" s="132" t="s">
        <v>676</v>
      </c>
      <c r="C710" s="132"/>
      <c r="D710" s="24"/>
    </row>
    <row r="711" spans="1:4" ht="33.6" x14ac:dyDescent="0.35">
      <c r="A711" s="134">
        <v>1</v>
      </c>
      <c r="B711" s="136" t="s">
        <v>995</v>
      </c>
      <c r="C711" s="7" t="s">
        <v>1249</v>
      </c>
      <c r="D711" s="24"/>
    </row>
    <row r="712" spans="1:4" ht="84" x14ac:dyDescent="0.35">
      <c r="A712" s="144"/>
      <c r="B712" s="143"/>
      <c r="C712" s="48" t="s">
        <v>1009</v>
      </c>
      <c r="D712" s="24" t="s">
        <v>28</v>
      </c>
    </row>
    <row r="713" spans="1:4" x14ac:dyDescent="0.35">
      <c r="A713" s="144"/>
      <c r="B713" s="143"/>
      <c r="C713" s="60" t="s">
        <v>1129</v>
      </c>
      <c r="D713" s="24" t="s">
        <v>28</v>
      </c>
    </row>
    <row r="714" spans="1:4" x14ac:dyDescent="0.35">
      <c r="A714" s="144"/>
      <c r="B714" s="143"/>
      <c r="C714" s="60" t="s">
        <v>1130</v>
      </c>
      <c r="D714" s="24" t="s">
        <v>28</v>
      </c>
    </row>
    <row r="715" spans="1:4" ht="33.6" x14ac:dyDescent="0.35">
      <c r="A715" s="144"/>
      <c r="B715" s="143"/>
      <c r="C715" s="60" t="s">
        <v>1131</v>
      </c>
      <c r="D715" s="24" t="s">
        <v>28</v>
      </c>
    </row>
    <row r="716" spans="1:4" x14ac:dyDescent="0.35">
      <c r="A716" s="144"/>
      <c r="B716" s="143"/>
      <c r="C716" s="60" t="s">
        <v>1250</v>
      </c>
      <c r="D716" s="24" t="s">
        <v>28</v>
      </c>
    </row>
    <row r="717" spans="1:4" x14ac:dyDescent="0.35">
      <c r="A717" s="144"/>
      <c r="B717" s="143"/>
      <c r="C717" s="60" t="s">
        <v>1132</v>
      </c>
      <c r="D717" s="24" t="s">
        <v>28</v>
      </c>
    </row>
    <row r="718" spans="1:4" x14ac:dyDescent="0.35">
      <c r="A718" s="144"/>
      <c r="B718" s="143"/>
      <c r="C718" s="60" t="s">
        <v>1138</v>
      </c>
      <c r="D718" s="24" t="s">
        <v>28</v>
      </c>
    </row>
    <row r="719" spans="1:4" x14ac:dyDescent="0.35">
      <c r="A719" s="144"/>
      <c r="B719" s="143"/>
      <c r="C719" s="60" t="s">
        <v>1139</v>
      </c>
      <c r="D719" s="24" t="s">
        <v>28</v>
      </c>
    </row>
    <row r="720" spans="1:4" x14ac:dyDescent="0.35">
      <c r="A720" s="144"/>
      <c r="B720" s="143"/>
      <c r="C720" s="60" t="s">
        <v>1140</v>
      </c>
      <c r="D720" s="24" t="s">
        <v>28</v>
      </c>
    </row>
    <row r="721" spans="1:4" x14ac:dyDescent="0.35">
      <c r="A721" s="144"/>
      <c r="B721" s="143"/>
      <c r="C721" s="7" t="s">
        <v>1207</v>
      </c>
      <c r="D721" s="24"/>
    </row>
    <row r="722" spans="1:4" ht="50.4" x14ac:dyDescent="0.35">
      <c r="A722" s="144"/>
      <c r="B722" s="143"/>
      <c r="C722" s="60" t="s">
        <v>1142</v>
      </c>
      <c r="D722" s="24" t="s">
        <v>28</v>
      </c>
    </row>
    <row r="723" spans="1:4" ht="33.6" x14ac:dyDescent="0.35">
      <c r="A723" s="144"/>
      <c r="B723" s="143"/>
      <c r="C723" s="60" t="s">
        <v>1251</v>
      </c>
      <c r="D723" s="24" t="s">
        <v>28</v>
      </c>
    </row>
    <row r="724" spans="1:4" x14ac:dyDescent="0.35">
      <c r="A724" s="144"/>
      <c r="B724" s="143"/>
      <c r="C724" s="60" t="s">
        <v>1252</v>
      </c>
      <c r="D724" s="24" t="s">
        <v>28</v>
      </c>
    </row>
    <row r="725" spans="1:4" x14ac:dyDescent="0.35">
      <c r="A725" s="144"/>
      <c r="B725" s="143"/>
      <c r="C725" s="60" t="s">
        <v>1253</v>
      </c>
      <c r="D725" s="24" t="s">
        <v>28</v>
      </c>
    </row>
    <row r="726" spans="1:4" ht="33.6" x14ac:dyDescent="0.35">
      <c r="A726" s="144"/>
      <c r="B726" s="143"/>
      <c r="C726" s="60" t="s">
        <v>1254</v>
      </c>
      <c r="D726" s="24" t="s">
        <v>28</v>
      </c>
    </row>
    <row r="727" spans="1:4" ht="33.6" x14ac:dyDescent="0.35">
      <c r="A727" s="144"/>
      <c r="B727" s="143"/>
      <c r="C727" s="60" t="s">
        <v>1255</v>
      </c>
      <c r="D727" s="24" t="s">
        <v>28</v>
      </c>
    </row>
    <row r="728" spans="1:4" ht="33.6" x14ac:dyDescent="0.35">
      <c r="A728" s="144"/>
      <c r="B728" s="143"/>
      <c r="C728" s="60" t="s">
        <v>1256</v>
      </c>
      <c r="D728" s="24" t="s">
        <v>28</v>
      </c>
    </row>
    <row r="729" spans="1:4" ht="33.6" x14ac:dyDescent="0.35">
      <c r="A729" s="144"/>
      <c r="B729" s="143"/>
      <c r="C729" s="60" t="s">
        <v>1257</v>
      </c>
      <c r="D729" s="24" t="s">
        <v>28</v>
      </c>
    </row>
    <row r="730" spans="1:4" ht="67.2" x14ac:dyDescent="0.35">
      <c r="A730" s="144"/>
      <c r="B730" s="143"/>
      <c r="C730" s="60" t="s">
        <v>1258</v>
      </c>
      <c r="D730" s="24" t="s">
        <v>28</v>
      </c>
    </row>
    <row r="731" spans="1:4" ht="67.2" x14ac:dyDescent="0.35">
      <c r="A731" s="144"/>
      <c r="B731" s="143"/>
      <c r="C731" s="60" t="s">
        <v>1259</v>
      </c>
      <c r="D731" s="24" t="s">
        <v>28</v>
      </c>
    </row>
    <row r="732" spans="1:4" x14ac:dyDescent="0.35">
      <c r="A732" s="144"/>
      <c r="B732" s="143"/>
      <c r="C732" s="60" t="s">
        <v>1160</v>
      </c>
      <c r="D732" s="24" t="s">
        <v>28</v>
      </c>
    </row>
    <row r="733" spans="1:4" x14ac:dyDescent="0.35">
      <c r="A733" s="144"/>
      <c r="B733" s="143"/>
      <c r="C733" s="7" t="s">
        <v>1260</v>
      </c>
      <c r="D733" s="24"/>
    </row>
    <row r="734" spans="1:4" ht="50.4" x14ac:dyDescent="0.35">
      <c r="A734" s="144"/>
      <c r="B734" s="143"/>
      <c r="C734" s="60" t="s">
        <v>1169</v>
      </c>
      <c r="D734" s="24" t="s">
        <v>28</v>
      </c>
    </row>
    <row r="735" spans="1:4" ht="33.6" x14ac:dyDescent="0.35">
      <c r="A735" s="144"/>
      <c r="B735" s="143"/>
      <c r="C735" s="60" t="s">
        <v>1261</v>
      </c>
      <c r="D735" s="24" t="s">
        <v>28</v>
      </c>
    </row>
    <row r="736" spans="1:4" ht="33.6" x14ac:dyDescent="0.35">
      <c r="A736" s="144"/>
      <c r="B736" s="143"/>
      <c r="C736" s="60" t="s">
        <v>1262</v>
      </c>
      <c r="D736" s="24" t="s">
        <v>28</v>
      </c>
    </row>
    <row r="737" spans="1:4" ht="50.4" x14ac:dyDescent="0.35">
      <c r="A737" s="144"/>
      <c r="B737" s="143"/>
      <c r="C737" s="60" t="s">
        <v>1263</v>
      </c>
      <c r="D737" s="24" t="s">
        <v>28</v>
      </c>
    </row>
    <row r="738" spans="1:4" x14ac:dyDescent="0.35">
      <c r="A738" s="144"/>
      <c r="B738" s="143"/>
      <c r="C738" s="60" t="s">
        <v>1235</v>
      </c>
      <c r="D738" s="24" t="s">
        <v>28</v>
      </c>
    </row>
    <row r="739" spans="1:4" x14ac:dyDescent="0.35">
      <c r="A739" s="144"/>
      <c r="B739" s="143"/>
      <c r="C739" s="60" t="s">
        <v>1264</v>
      </c>
      <c r="D739" s="24" t="s">
        <v>28</v>
      </c>
    </row>
    <row r="740" spans="1:4" ht="33.6" x14ac:dyDescent="0.35">
      <c r="A740" s="144"/>
      <c r="B740" s="143"/>
      <c r="C740" s="60" t="s">
        <v>1265</v>
      </c>
      <c r="D740" s="24" t="s">
        <v>28</v>
      </c>
    </row>
    <row r="741" spans="1:4" ht="50.4" x14ac:dyDescent="0.35">
      <c r="A741" s="144"/>
      <c r="B741" s="143"/>
      <c r="C741" s="60" t="s">
        <v>1266</v>
      </c>
      <c r="D741" s="24" t="s">
        <v>28</v>
      </c>
    </row>
    <row r="742" spans="1:4" x14ac:dyDescent="0.35">
      <c r="A742" s="135"/>
      <c r="B742" s="137"/>
      <c r="C742" s="60" t="s">
        <v>1160</v>
      </c>
      <c r="D742" s="24" t="s">
        <v>28</v>
      </c>
    </row>
    <row r="743" spans="1:4" ht="33.6" x14ac:dyDescent="0.35">
      <c r="A743" s="24">
        <v>4</v>
      </c>
      <c r="B743" s="25" t="s">
        <v>876</v>
      </c>
      <c r="C743" s="25" t="s">
        <v>1005</v>
      </c>
      <c r="D743" s="24" t="s">
        <v>28</v>
      </c>
    </row>
    <row r="744" spans="1:4" x14ac:dyDescent="0.35">
      <c r="A744" s="70" t="s">
        <v>1013</v>
      </c>
      <c r="B744" s="138" t="s">
        <v>1011</v>
      </c>
      <c r="C744" s="138"/>
      <c r="D744" s="26"/>
    </row>
    <row r="745" spans="1:4" x14ac:dyDescent="0.35">
      <c r="A745" s="26" t="s">
        <v>4</v>
      </c>
      <c r="B745" s="132" t="s">
        <v>363</v>
      </c>
      <c r="C745" s="132"/>
      <c r="D745" s="24"/>
    </row>
    <row r="746" spans="1:4" x14ac:dyDescent="0.35">
      <c r="A746" s="24">
        <v>1</v>
      </c>
      <c r="B746" s="25" t="s">
        <v>661</v>
      </c>
      <c r="C746" s="25" t="s">
        <v>662</v>
      </c>
      <c r="D746" s="106" t="s">
        <v>1554</v>
      </c>
    </row>
    <row r="747" spans="1:4" x14ac:dyDescent="0.35">
      <c r="A747" s="24">
        <v>2</v>
      </c>
      <c r="B747" s="25" t="s">
        <v>32</v>
      </c>
      <c r="C747" s="25" t="s">
        <v>662</v>
      </c>
      <c r="D747" s="106" t="s">
        <v>1554</v>
      </c>
    </row>
    <row r="748" spans="1:4" x14ac:dyDescent="0.35">
      <c r="A748" s="24">
        <v>3</v>
      </c>
      <c r="B748" s="25" t="s">
        <v>33</v>
      </c>
      <c r="C748" s="25" t="s">
        <v>662</v>
      </c>
      <c r="D748" s="106" t="s">
        <v>1506</v>
      </c>
    </row>
    <row r="749" spans="1:4" x14ac:dyDescent="0.35">
      <c r="A749" s="24">
        <v>4</v>
      </c>
      <c r="B749" s="25" t="s">
        <v>663</v>
      </c>
      <c r="C749" s="25" t="s">
        <v>664</v>
      </c>
      <c r="D749" s="24" t="s">
        <v>28</v>
      </c>
    </row>
    <row r="750" spans="1:4" x14ac:dyDescent="0.35">
      <c r="A750" s="24">
        <v>5</v>
      </c>
      <c r="B750" s="25" t="s">
        <v>665</v>
      </c>
      <c r="C750" s="25" t="s">
        <v>666</v>
      </c>
      <c r="D750" s="24" t="s">
        <v>28</v>
      </c>
    </row>
    <row r="751" spans="1:4" ht="33.6" x14ac:dyDescent="0.35">
      <c r="A751" s="24">
        <v>6</v>
      </c>
      <c r="B751" s="25" t="s">
        <v>667</v>
      </c>
      <c r="C751" s="25" t="s">
        <v>39</v>
      </c>
      <c r="D751" s="24" t="s">
        <v>28</v>
      </c>
    </row>
    <row r="752" spans="1:4" ht="33.6" x14ac:dyDescent="0.35">
      <c r="A752" s="24">
        <v>7</v>
      </c>
      <c r="B752" s="25" t="s">
        <v>668</v>
      </c>
      <c r="C752" s="25" t="s">
        <v>669</v>
      </c>
      <c r="D752" s="24" t="s">
        <v>28</v>
      </c>
    </row>
    <row r="753" spans="1:4" ht="33.6" x14ac:dyDescent="0.35">
      <c r="A753" s="24">
        <v>8</v>
      </c>
      <c r="B753" s="25" t="s">
        <v>34</v>
      </c>
      <c r="C753" s="25" t="s">
        <v>41</v>
      </c>
      <c r="D753" s="24" t="s">
        <v>28</v>
      </c>
    </row>
    <row r="754" spans="1:4" x14ac:dyDescent="0.35">
      <c r="A754" s="24">
        <v>9</v>
      </c>
      <c r="B754" s="25" t="s">
        <v>670</v>
      </c>
      <c r="C754" s="25" t="s">
        <v>671</v>
      </c>
      <c r="D754" s="24" t="s">
        <v>28</v>
      </c>
    </row>
    <row r="755" spans="1:4" ht="33.6" x14ac:dyDescent="0.35">
      <c r="A755" s="24">
        <v>10</v>
      </c>
      <c r="B755" s="25" t="s">
        <v>672</v>
      </c>
      <c r="C755" s="25" t="s">
        <v>849</v>
      </c>
      <c r="D755" s="24" t="s">
        <v>28</v>
      </c>
    </row>
    <row r="756" spans="1:4" ht="50.4" x14ac:dyDescent="0.35">
      <c r="A756" s="24">
        <v>11</v>
      </c>
      <c r="B756" s="25" t="s">
        <v>674</v>
      </c>
      <c r="C756" s="25" t="s">
        <v>708</v>
      </c>
      <c r="D756" s="24" t="s">
        <v>28</v>
      </c>
    </row>
    <row r="757" spans="1:4" x14ac:dyDescent="0.35">
      <c r="A757" s="26" t="s">
        <v>6</v>
      </c>
      <c r="B757" s="132" t="s">
        <v>676</v>
      </c>
      <c r="C757" s="132"/>
      <c r="D757" s="24"/>
    </row>
    <row r="758" spans="1:4" ht="33.6" x14ac:dyDescent="0.35">
      <c r="A758" s="129">
        <v>1</v>
      </c>
      <c r="B758" s="129" t="s">
        <v>995</v>
      </c>
      <c r="C758" s="60" t="s">
        <v>1267</v>
      </c>
      <c r="D758" s="24" t="s">
        <v>28</v>
      </c>
    </row>
    <row r="759" spans="1:4" x14ac:dyDescent="0.35">
      <c r="A759" s="129"/>
      <c r="B759" s="129"/>
      <c r="C759" s="60" t="s">
        <v>1268</v>
      </c>
      <c r="D759" s="24" t="s">
        <v>28</v>
      </c>
    </row>
    <row r="760" spans="1:4" ht="33.6" x14ac:dyDescent="0.35">
      <c r="A760" s="129"/>
      <c r="B760" s="129"/>
      <c r="C760" s="60" t="s">
        <v>1269</v>
      </c>
      <c r="D760" s="24" t="s">
        <v>28</v>
      </c>
    </row>
    <row r="761" spans="1:4" ht="33.6" x14ac:dyDescent="0.35">
      <c r="A761" s="129"/>
      <c r="B761" s="129"/>
      <c r="C761" s="60" t="s">
        <v>1270</v>
      </c>
      <c r="D761" s="24" t="s">
        <v>28</v>
      </c>
    </row>
    <row r="762" spans="1:4" ht="33.6" x14ac:dyDescent="0.35">
      <c r="A762" s="129"/>
      <c r="B762" s="129"/>
      <c r="C762" s="60" t="s">
        <v>1271</v>
      </c>
      <c r="D762" s="24" t="s">
        <v>28</v>
      </c>
    </row>
    <row r="763" spans="1:4" ht="33.6" x14ac:dyDescent="0.35">
      <c r="A763" s="129"/>
      <c r="B763" s="129"/>
      <c r="C763" s="60" t="s">
        <v>1272</v>
      </c>
      <c r="D763" s="24" t="s">
        <v>28</v>
      </c>
    </row>
    <row r="764" spans="1:4" x14ac:dyDescent="0.35">
      <c r="A764" s="129"/>
      <c r="B764" s="129"/>
      <c r="C764" s="60" t="s">
        <v>1273</v>
      </c>
      <c r="D764" s="24" t="s">
        <v>28</v>
      </c>
    </row>
    <row r="765" spans="1:4" ht="33.6" x14ac:dyDescent="0.35">
      <c r="A765" s="24">
        <v>2</v>
      </c>
      <c r="B765" s="25" t="s">
        <v>876</v>
      </c>
      <c r="C765" s="25" t="s">
        <v>1012</v>
      </c>
      <c r="D765" s="24" t="s">
        <v>28</v>
      </c>
    </row>
    <row r="766" spans="1:4" x14ac:dyDescent="0.35">
      <c r="A766" s="78" t="s">
        <v>1015</v>
      </c>
      <c r="B766" s="145" t="s">
        <v>1014</v>
      </c>
      <c r="C766" s="145"/>
      <c r="D766" s="49"/>
    </row>
    <row r="767" spans="1:4" x14ac:dyDescent="0.35">
      <c r="A767" s="26" t="s">
        <v>4</v>
      </c>
      <c r="B767" s="132" t="s">
        <v>363</v>
      </c>
      <c r="C767" s="132"/>
      <c r="D767" s="24"/>
    </row>
    <row r="768" spans="1:4" x14ac:dyDescent="0.35">
      <c r="A768" s="24">
        <v>1</v>
      </c>
      <c r="B768" s="25" t="s">
        <v>661</v>
      </c>
      <c r="C768" s="25" t="s">
        <v>662</v>
      </c>
      <c r="D768" s="106" t="s">
        <v>1553</v>
      </c>
    </row>
    <row r="769" spans="1:4" x14ac:dyDescent="0.35">
      <c r="A769" s="24">
        <v>2</v>
      </c>
      <c r="B769" s="25" t="s">
        <v>32</v>
      </c>
      <c r="C769" s="25" t="s">
        <v>662</v>
      </c>
      <c r="D769" s="106" t="s">
        <v>1554</v>
      </c>
    </row>
    <row r="770" spans="1:4" x14ac:dyDescent="0.35">
      <c r="A770" s="24">
        <v>3</v>
      </c>
      <c r="B770" s="25" t="s">
        <v>33</v>
      </c>
      <c r="C770" s="25" t="s">
        <v>662</v>
      </c>
      <c r="D770" s="24" t="s">
        <v>1506</v>
      </c>
    </row>
    <row r="771" spans="1:4" x14ac:dyDescent="0.35">
      <c r="A771" s="24">
        <v>4</v>
      </c>
      <c r="B771" s="25" t="s">
        <v>663</v>
      </c>
      <c r="C771" s="25" t="s">
        <v>664</v>
      </c>
      <c r="D771" s="24" t="s">
        <v>28</v>
      </c>
    </row>
    <row r="772" spans="1:4" x14ac:dyDescent="0.35">
      <c r="A772" s="24">
        <v>5</v>
      </c>
      <c r="B772" s="25" t="s">
        <v>665</v>
      </c>
      <c r="C772" s="25" t="s">
        <v>666</v>
      </c>
      <c r="D772" s="24" t="s">
        <v>28</v>
      </c>
    </row>
    <row r="773" spans="1:4" ht="33.6" x14ac:dyDescent="0.35">
      <c r="A773" s="24">
        <v>6</v>
      </c>
      <c r="B773" s="25" t="s">
        <v>667</v>
      </c>
      <c r="C773" s="25" t="s">
        <v>39</v>
      </c>
      <c r="D773" s="24" t="s">
        <v>28</v>
      </c>
    </row>
    <row r="774" spans="1:4" ht="33.6" x14ac:dyDescent="0.35">
      <c r="A774" s="24">
        <v>7</v>
      </c>
      <c r="B774" s="25" t="s">
        <v>668</v>
      </c>
      <c r="C774" s="25" t="s">
        <v>669</v>
      </c>
      <c r="D774" s="24" t="s">
        <v>28</v>
      </c>
    </row>
    <row r="775" spans="1:4" ht="33.6" x14ac:dyDescent="0.35">
      <c r="A775" s="24">
        <v>8</v>
      </c>
      <c r="B775" s="25" t="s">
        <v>34</v>
      </c>
      <c r="C775" s="25" t="s">
        <v>41</v>
      </c>
      <c r="D775" s="24" t="s">
        <v>28</v>
      </c>
    </row>
    <row r="776" spans="1:4" x14ac:dyDescent="0.35">
      <c r="A776" s="24">
        <v>9</v>
      </c>
      <c r="B776" s="25" t="s">
        <v>670</v>
      </c>
      <c r="C776" s="25" t="s">
        <v>671</v>
      </c>
      <c r="D776" s="24" t="s">
        <v>28</v>
      </c>
    </row>
    <row r="777" spans="1:4" ht="33.6" x14ac:dyDescent="0.35">
      <c r="A777" s="24">
        <v>10</v>
      </c>
      <c r="B777" s="25" t="s">
        <v>672</v>
      </c>
      <c r="C777" s="25" t="s">
        <v>849</v>
      </c>
      <c r="D777" s="24" t="s">
        <v>28</v>
      </c>
    </row>
    <row r="778" spans="1:4" ht="50.4" x14ac:dyDescent="0.35">
      <c r="A778" s="24">
        <v>11</v>
      </c>
      <c r="B778" s="25" t="s">
        <v>674</v>
      </c>
      <c r="C778" s="25" t="s">
        <v>708</v>
      </c>
      <c r="D778" s="24" t="s">
        <v>1524</v>
      </c>
    </row>
    <row r="779" spans="1:4" x14ac:dyDescent="0.35">
      <c r="A779" s="26" t="s">
        <v>6</v>
      </c>
      <c r="B779" s="132" t="s">
        <v>676</v>
      </c>
      <c r="C779" s="132"/>
      <c r="D779" s="24"/>
    </row>
    <row r="780" spans="1:4" x14ac:dyDescent="0.35">
      <c r="A780" s="134">
        <v>1</v>
      </c>
      <c r="B780" s="136" t="s">
        <v>995</v>
      </c>
      <c r="C780" s="60" t="s">
        <v>1274</v>
      </c>
      <c r="D780" s="24" t="s">
        <v>28</v>
      </c>
    </row>
    <row r="781" spans="1:4" x14ac:dyDescent="0.35">
      <c r="A781" s="144"/>
      <c r="B781" s="143"/>
      <c r="C781" s="60" t="s">
        <v>1275</v>
      </c>
      <c r="D781" s="24" t="s">
        <v>28</v>
      </c>
    </row>
    <row r="782" spans="1:4" x14ac:dyDescent="0.35">
      <c r="A782" s="144"/>
      <c r="B782" s="143"/>
      <c r="C782" s="60" t="s">
        <v>1276</v>
      </c>
      <c r="D782" s="24" t="s">
        <v>28</v>
      </c>
    </row>
    <row r="783" spans="1:4" ht="33.6" x14ac:dyDescent="0.35">
      <c r="A783" s="144"/>
      <c r="B783" s="143"/>
      <c r="C783" s="60" t="s">
        <v>1277</v>
      </c>
      <c r="D783" s="24" t="s">
        <v>28</v>
      </c>
    </row>
    <row r="784" spans="1:4" x14ac:dyDescent="0.35">
      <c r="A784" s="144"/>
      <c r="B784" s="143"/>
      <c r="C784" s="60" t="s">
        <v>1278</v>
      </c>
      <c r="D784" s="24" t="s">
        <v>28</v>
      </c>
    </row>
    <row r="785" spans="1:4" x14ac:dyDescent="0.35">
      <c r="A785" s="144"/>
      <c r="B785" s="143"/>
      <c r="C785" s="60" t="s">
        <v>1279</v>
      </c>
      <c r="D785" s="24" t="s">
        <v>28</v>
      </c>
    </row>
    <row r="786" spans="1:4" ht="33.6" x14ac:dyDescent="0.35">
      <c r="A786" s="144"/>
      <c r="B786" s="143"/>
      <c r="C786" s="60" t="s">
        <v>1280</v>
      </c>
      <c r="D786" s="24" t="s">
        <v>28</v>
      </c>
    </row>
    <row r="787" spans="1:4" ht="33.6" x14ac:dyDescent="0.35">
      <c r="A787" s="144"/>
      <c r="B787" s="143"/>
      <c r="C787" s="60" t="s">
        <v>1281</v>
      </c>
      <c r="D787" s="24" t="s">
        <v>28</v>
      </c>
    </row>
    <row r="788" spans="1:4" x14ac:dyDescent="0.35">
      <c r="A788" s="144"/>
      <c r="B788" s="143"/>
      <c r="C788" s="60" t="s">
        <v>1282</v>
      </c>
      <c r="D788" s="24" t="s">
        <v>28</v>
      </c>
    </row>
    <row r="789" spans="1:4" x14ac:dyDescent="0.35">
      <c r="A789" s="144"/>
      <c r="B789" s="143"/>
      <c r="C789" s="60" t="s">
        <v>1283</v>
      </c>
      <c r="D789" s="24" t="s">
        <v>28</v>
      </c>
    </row>
    <row r="790" spans="1:4" x14ac:dyDescent="0.35">
      <c r="A790" s="135"/>
      <c r="B790" s="137"/>
      <c r="C790" s="60" t="s">
        <v>1284</v>
      </c>
      <c r="D790" s="24" t="s">
        <v>28</v>
      </c>
    </row>
    <row r="791" spans="1:4" ht="33.6" x14ac:dyDescent="0.35">
      <c r="A791" s="24">
        <v>2</v>
      </c>
      <c r="B791" s="25" t="s">
        <v>876</v>
      </c>
      <c r="C791" s="25" t="s">
        <v>1016</v>
      </c>
      <c r="D791" s="24" t="s">
        <v>28</v>
      </c>
    </row>
    <row r="792" spans="1:4" x14ac:dyDescent="0.35">
      <c r="A792" s="70" t="s">
        <v>1017</v>
      </c>
      <c r="B792" s="138" t="s">
        <v>1018</v>
      </c>
      <c r="C792" s="138"/>
      <c r="D792" s="26"/>
    </row>
    <row r="793" spans="1:4" x14ac:dyDescent="0.35">
      <c r="A793" s="26" t="s">
        <v>4</v>
      </c>
      <c r="B793" s="132" t="s">
        <v>363</v>
      </c>
      <c r="C793" s="132"/>
      <c r="D793" s="24"/>
    </row>
    <row r="794" spans="1:4" x14ac:dyDescent="0.35">
      <c r="A794" s="24">
        <v>1</v>
      </c>
      <c r="B794" s="25" t="s">
        <v>661</v>
      </c>
      <c r="C794" s="25" t="s">
        <v>662</v>
      </c>
      <c r="D794" s="24" t="s">
        <v>1577</v>
      </c>
    </row>
    <row r="795" spans="1:4" x14ac:dyDescent="0.35">
      <c r="A795" s="24">
        <v>2</v>
      </c>
      <c r="B795" s="25" t="s">
        <v>32</v>
      </c>
      <c r="C795" s="25" t="s">
        <v>662</v>
      </c>
      <c r="D795" s="24" t="s">
        <v>1578</v>
      </c>
    </row>
    <row r="796" spans="1:4" x14ac:dyDescent="0.35">
      <c r="A796" s="24">
        <v>3</v>
      </c>
      <c r="B796" s="25" t="s">
        <v>33</v>
      </c>
      <c r="C796" s="25" t="s">
        <v>662</v>
      </c>
      <c r="D796" s="24" t="s">
        <v>1499</v>
      </c>
    </row>
    <row r="797" spans="1:4" x14ac:dyDescent="0.35">
      <c r="A797" s="24">
        <v>4</v>
      </c>
      <c r="B797" s="25" t="s">
        <v>663</v>
      </c>
      <c r="C797" s="25" t="s">
        <v>664</v>
      </c>
      <c r="D797" s="24" t="s">
        <v>28</v>
      </c>
    </row>
    <row r="798" spans="1:4" x14ac:dyDescent="0.35">
      <c r="A798" s="24">
        <v>5</v>
      </c>
      <c r="B798" s="25" t="s">
        <v>665</v>
      </c>
      <c r="C798" s="25" t="s">
        <v>666</v>
      </c>
      <c r="D798" s="24" t="s">
        <v>28</v>
      </c>
    </row>
    <row r="799" spans="1:4" ht="33.6" x14ac:dyDescent="0.35">
      <c r="A799" s="24">
        <v>6</v>
      </c>
      <c r="B799" s="25" t="s">
        <v>667</v>
      </c>
      <c r="C799" s="25" t="s">
        <v>39</v>
      </c>
      <c r="D799" s="24" t="s">
        <v>28</v>
      </c>
    </row>
    <row r="800" spans="1:4" ht="33.6" x14ac:dyDescent="0.35">
      <c r="A800" s="24">
        <v>7</v>
      </c>
      <c r="B800" s="25" t="s">
        <v>668</v>
      </c>
      <c r="C800" s="25" t="s">
        <v>669</v>
      </c>
      <c r="D800" s="24" t="s">
        <v>28</v>
      </c>
    </row>
    <row r="801" spans="1:4" ht="33.6" x14ac:dyDescent="0.35">
      <c r="A801" s="24">
        <v>8</v>
      </c>
      <c r="B801" s="25" t="s">
        <v>34</v>
      </c>
      <c r="C801" s="25" t="s">
        <v>41</v>
      </c>
      <c r="D801" s="24" t="s">
        <v>28</v>
      </c>
    </row>
    <row r="802" spans="1:4" x14ac:dyDescent="0.35">
      <c r="A802" s="24">
        <v>9</v>
      </c>
      <c r="B802" s="25" t="s">
        <v>670</v>
      </c>
      <c r="C802" s="25" t="s">
        <v>671</v>
      </c>
      <c r="D802" s="24" t="s">
        <v>28</v>
      </c>
    </row>
    <row r="803" spans="1:4" ht="33.6" x14ac:dyDescent="0.35">
      <c r="A803" s="24">
        <v>10</v>
      </c>
      <c r="B803" s="25" t="s">
        <v>672</v>
      </c>
      <c r="C803" s="25" t="s">
        <v>849</v>
      </c>
      <c r="D803" s="24" t="s">
        <v>28</v>
      </c>
    </row>
    <row r="804" spans="1:4" ht="50.4" x14ac:dyDescent="0.35">
      <c r="A804" s="24">
        <v>11</v>
      </c>
      <c r="B804" s="25" t="s">
        <v>674</v>
      </c>
      <c r="C804" s="25" t="s">
        <v>708</v>
      </c>
      <c r="D804" s="24" t="s">
        <v>1524</v>
      </c>
    </row>
    <row r="805" spans="1:4" x14ac:dyDescent="0.35">
      <c r="A805" s="26" t="s">
        <v>6</v>
      </c>
      <c r="B805" s="132" t="s">
        <v>676</v>
      </c>
      <c r="C805" s="132"/>
      <c r="D805" s="24"/>
    </row>
    <row r="806" spans="1:4" ht="33.6" x14ac:dyDescent="0.35">
      <c r="A806" s="134">
        <v>1</v>
      </c>
      <c r="B806" s="136" t="s">
        <v>995</v>
      </c>
      <c r="C806" s="7" t="s">
        <v>1285</v>
      </c>
      <c r="D806" s="24"/>
    </row>
    <row r="807" spans="1:4" ht="33.6" x14ac:dyDescent="0.35">
      <c r="A807" s="144"/>
      <c r="B807" s="143"/>
      <c r="C807" s="60" t="s">
        <v>1286</v>
      </c>
      <c r="D807" s="24" t="s">
        <v>28</v>
      </c>
    </row>
    <row r="808" spans="1:4" x14ac:dyDescent="0.35">
      <c r="A808" s="144"/>
      <c r="B808" s="143"/>
      <c r="C808" s="60" t="s">
        <v>1287</v>
      </c>
      <c r="D808" s="24" t="s">
        <v>28</v>
      </c>
    </row>
    <row r="809" spans="1:4" ht="33.6" x14ac:dyDescent="0.35">
      <c r="A809" s="144"/>
      <c r="B809" s="143"/>
      <c r="C809" s="60" t="s">
        <v>1288</v>
      </c>
      <c r="D809" s="24" t="s">
        <v>28</v>
      </c>
    </row>
    <row r="810" spans="1:4" ht="33.6" x14ac:dyDescent="0.35">
      <c r="A810" s="144"/>
      <c r="B810" s="143"/>
      <c r="C810" s="60" t="s">
        <v>1289</v>
      </c>
      <c r="D810" s="24" t="s">
        <v>28</v>
      </c>
    </row>
    <row r="811" spans="1:4" ht="33.6" x14ac:dyDescent="0.35">
      <c r="A811" s="144"/>
      <c r="B811" s="143"/>
      <c r="C811" s="60" t="s">
        <v>1290</v>
      </c>
      <c r="D811" s="24" t="s">
        <v>28</v>
      </c>
    </row>
    <row r="812" spans="1:4" ht="33.6" x14ac:dyDescent="0.35">
      <c r="A812" s="144"/>
      <c r="B812" s="143"/>
      <c r="C812" s="60" t="s">
        <v>1291</v>
      </c>
      <c r="D812" s="24" t="s">
        <v>28</v>
      </c>
    </row>
    <row r="813" spans="1:4" ht="33.6" x14ac:dyDescent="0.35">
      <c r="A813" s="144"/>
      <c r="B813" s="143"/>
      <c r="C813" s="7" t="s">
        <v>1292</v>
      </c>
      <c r="D813" s="24"/>
    </row>
    <row r="814" spans="1:4" ht="84" x14ac:dyDescent="0.35">
      <c r="A814" s="144"/>
      <c r="B814" s="143"/>
      <c r="C814" s="60" t="s">
        <v>1293</v>
      </c>
      <c r="D814" s="24" t="s">
        <v>28</v>
      </c>
    </row>
    <row r="815" spans="1:4" ht="50.4" x14ac:dyDescent="0.35">
      <c r="A815" s="144"/>
      <c r="B815" s="143"/>
      <c r="C815" s="60" t="s">
        <v>1294</v>
      </c>
      <c r="D815" s="24" t="s">
        <v>28</v>
      </c>
    </row>
    <row r="816" spans="1:4" ht="33.6" x14ac:dyDescent="0.35">
      <c r="A816" s="144"/>
      <c r="B816" s="143"/>
      <c r="C816" s="60" t="s">
        <v>1295</v>
      </c>
      <c r="D816" s="24" t="s">
        <v>28</v>
      </c>
    </row>
    <row r="817" spans="1:4" ht="33.6" x14ac:dyDescent="0.35">
      <c r="A817" s="144"/>
      <c r="B817" s="143"/>
      <c r="C817" s="60" t="s">
        <v>1296</v>
      </c>
      <c r="D817" s="24" t="s">
        <v>28</v>
      </c>
    </row>
    <row r="818" spans="1:4" ht="50.4" x14ac:dyDescent="0.35">
      <c r="A818" s="144"/>
      <c r="B818" s="143"/>
      <c r="C818" s="60" t="s">
        <v>1297</v>
      </c>
      <c r="D818" s="24" t="s">
        <v>28</v>
      </c>
    </row>
    <row r="819" spans="1:4" ht="33.6" x14ac:dyDescent="0.35">
      <c r="A819" s="144"/>
      <c r="B819" s="143"/>
      <c r="C819" s="60" t="s">
        <v>1298</v>
      </c>
      <c r="D819" s="24" t="s">
        <v>28</v>
      </c>
    </row>
    <row r="820" spans="1:4" ht="33.6" x14ac:dyDescent="0.35">
      <c r="A820" s="144"/>
      <c r="B820" s="143"/>
      <c r="C820" s="7" t="s">
        <v>1299</v>
      </c>
      <c r="D820" s="24"/>
    </row>
    <row r="821" spans="1:4" ht="33.6" x14ac:dyDescent="0.35">
      <c r="A821" s="144"/>
      <c r="B821" s="143"/>
      <c r="C821" s="60" t="s">
        <v>1300</v>
      </c>
      <c r="D821" s="24" t="s">
        <v>28</v>
      </c>
    </row>
    <row r="822" spans="1:4" ht="50.4" x14ac:dyDescent="0.35">
      <c r="A822" s="144"/>
      <c r="B822" s="143"/>
      <c r="C822" s="60" t="s">
        <v>1301</v>
      </c>
      <c r="D822" s="24" t="s">
        <v>28</v>
      </c>
    </row>
    <row r="823" spans="1:4" ht="33.6" x14ac:dyDescent="0.35">
      <c r="A823" s="144"/>
      <c r="B823" s="143"/>
      <c r="C823" s="60" t="s">
        <v>1302</v>
      </c>
      <c r="D823" s="24" t="s">
        <v>28</v>
      </c>
    </row>
    <row r="824" spans="1:4" ht="50.4" x14ac:dyDescent="0.35">
      <c r="A824" s="144"/>
      <c r="B824" s="143"/>
      <c r="C824" s="60" t="s">
        <v>1303</v>
      </c>
      <c r="D824" s="24" t="s">
        <v>28</v>
      </c>
    </row>
    <row r="825" spans="1:4" ht="50.4" x14ac:dyDescent="0.35">
      <c r="A825" s="144"/>
      <c r="B825" s="143"/>
      <c r="C825" s="60" t="s">
        <v>1304</v>
      </c>
      <c r="D825" s="24" t="s">
        <v>28</v>
      </c>
    </row>
    <row r="826" spans="1:4" ht="67.2" x14ac:dyDescent="0.35">
      <c r="A826" s="135"/>
      <c r="B826" s="137"/>
      <c r="C826" s="60" t="s">
        <v>1305</v>
      </c>
      <c r="D826" s="24" t="s">
        <v>28</v>
      </c>
    </row>
    <row r="827" spans="1:4" ht="33.6" x14ac:dyDescent="0.35">
      <c r="A827" s="24">
        <v>2</v>
      </c>
      <c r="B827" s="25" t="s">
        <v>876</v>
      </c>
      <c r="C827" s="25" t="s">
        <v>1016</v>
      </c>
      <c r="D827" s="24" t="s">
        <v>28</v>
      </c>
    </row>
    <row r="828" spans="1:4" x14ac:dyDescent="0.35">
      <c r="A828" s="70" t="s">
        <v>1019</v>
      </c>
      <c r="B828" s="138" t="s">
        <v>1020</v>
      </c>
      <c r="C828" s="138"/>
      <c r="D828" s="26"/>
    </row>
    <row r="829" spans="1:4" x14ac:dyDescent="0.35">
      <c r="A829" s="26" t="s">
        <v>4</v>
      </c>
      <c r="B829" s="132" t="s">
        <v>363</v>
      </c>
      <c r="C829" s="132"/>
      <c r="D829" s="24"/>
    </row>
    <row r="830" spans="1:4" x14ac:dyDescent="0.35">
      <c r="A830" s="24">
        <v>1</v>
      </c>
      <c r="B830" s="25" t="s">
        <v>661</v>
      </c>
      <c r="C830" s="25" t="s">
        <v>662</v>
      </c>
      <c r="D830" s="120" t="s">
        <v>1555</v>
      </c>
    </row>
    <row r="831" spans="1:4" x14ac:dyDescent="0.35">
      <c r="A831" s="24">
        <v>2</v>
      </c>
      <c r="B831" s="25" t="s">
        <v>32</v>
      </c>
      <c r="C831" s="25" t="s">
        <v>662</v>
      </c>
      <c r="D831" s="106" t="s">
        <v>1556</v>
      </c>
    </row>
    <row r="832" spans="1:4" x14ac:dyDescent="0.35">
      <c r="A832" s="24">
        <v>3</v>
      </c>
      <c r="B832" s="25" t="s">
        <v>33</v>
      </c>
      <c r="C832" s="25" t="s">
        <v>662</v>
      </c>
      <c r="D832" s="24" t="s">
        <v>1506</v>
      </c>
    </row>
    <row r="833" spans="1:4" x14ac:dyDescent="0.35">
      <c r="A833" s="24">
        <v>4</v>
      </c>
      <c r="B833" s="25" t="s">
        <v>663</v>
      </c>
      <c r="C833" s="25" t="s">
        <v>664</v>
      </c>
      <c r="D833" s="24" t="s">
        <v>28</v>
      </c>
    </row>
    <row r="834" spans="1:4" x14ac:dyDescent="0.35">
      <c r="A834" s="24">
        <v>5</v>
      </c>
      <c r="B834" s="25" t="s">
        <v>665</v>
      </c>
      <c r="C834" s="25" t="s">
        <v>666</v>
      </c>
      <c r="D834" s="24" t="s">
        <v>28</v>
      </c>
    </row>
    <row r="835" spans="1:4" ht="33.6" x14ac:dyDescent="0.35">
      <c r="A835" s="24">
        <v>6</v>
      </c>
      <c r="B835" s="25" t="s">
        <v>667</v>
      </c>
      <c r="C835" s="25" t="s">
        <v>39</v>
      </c>
      <c r="D835" s="24" t="s">
        <v>28</v>
      </c>
    </row>
    <row r="836" spans="1:4" ht="33.6" x14ac:dyDescent="0.35">
      <c r="A836" s="24">
        <v>7</v>
      </c>
      <c r="B836" s="25" t="s">
        <v>668</v>
      </c>
      <c r="C836" s="25" t="s">
        <v>669</v>
      </c>
      <c r="D836" s="24" t="s">
        <v>28</v>
      </c>
    </row>
    <row r="837" spans="1:4" ht="33.6" x14ac:dyDescent="0.35">
      <c r="A837" s="24">
        <v>8</v>
      </c>
      <c r="B837" s="25" t="s">
        <v>34</v>
      </c>
      <c r="C837" s="25" t="s">
        <v>41</v>
      </c>
      <c r="D837" s="24" t="s">
        <v>28</v>
      </c>
    </row>
    <row r="838" spans="1:4" x14ac:dyDescent="0.35">
      <c r="A838" s="24">
        <v>9</v>
      </c>
      <c r="B838" s="25" t="s">
        <v>670</v>
      </c>
      <c r="C838" s="25" t="s">
        <v>671</v>
      </c>
      <c r="D838" s="24" t="s">
        <v>28</v>
      </c>
    </row>
    <row r="839" spans="1:4" ht="33.6" x14ac:dyDescent="0.35">
      <c r="A839" s="24">
        <v>10</v>
      </c>
      <c r="B839" s="25" t="s">
        <v>672</v>
      </c>
      <c r="C839" s="25" t="s">
        <v>849</v>
      </c>
      <c r="D839" s="24" t="s">
        <v>28</v>
      </c>
    </row>
    <row r="840" spans="1:4" ht="50.4" x14ac:dyDescent="0.35">
      <c r="A840" s="24">
        <v>11</v>
      </c>
      <c r="B840" s="25" t="s">
        <v>674</v>
      </c>
      <c r="C840" s="25" t="s">
        <v>708</v>
      </c>
      <c r="D840" s="24" t="s">
        <v>1524</v>
      </c>
    </row>
    <row r="841" spans="1:4" x14ac:dyDescent="0.35">
      <c r="A841" s="26" t="s">
        <v>6</v>
      </c>
      <c r="B841" s="132" t="s">
        <v>676</v>
      </c>
      <c r="C841" s="132"/>
      <c r="D841" s="24"/>
    </row>
    <row r="842" spans="1:4" ht="168" x14ac:dyDescent="0.35">
      <c r="A842" s="129">
        <v>1</v>
      </c>
      <c r="B842" s="128" t="s">
        <v>995</v>
      </c>
      <c r="C842" s="60" t="s">
        <v>1306</v>
      </c>
      <c r="D842" s="24" t="s">
        <v>28</v>
      </c>
    </row>
    <row r="843" spans="1:4" ht="100.8" x14ac:dyDescent="0.35">
      <c r="A843" s="129"/>
      <c r="B843" s="128"/>
      <c r="C843" s="60" t="s">
        <v>1307</v>
      </c>
      <c r="D843" s="24" t="s">
        <v>28</v>
      </c>
    </row>
    <row r="844" spans="1:4" ht="84" x14ac:dyDescent="0.35">
      <c r="A844" s="129"/>
      <c r="B844" s="128"/>
      <c r="C844" s="60" t="s">
        <v>1308</v>
      </c>
      <c r="D844" s="24" t="s">
        <v>28</v>
      </c>
    </row>
    <row r="845" spans="1:4" ht="50.4" x14ac:dyDescent="0.35">
      <c r="A845" s="129"/>
      <c r="B845" s="128"/>
      <c r="C845" s="60" t="s">
        <v>1309</v>
      </c>
      <c r="D845" s="24" t="s">
        <v>28</v>
      </c>
    </row>
    <row r="846" spans="1:4" ht="84" x14ac:dyDescent="0.35">
      <c r="A846" s="129"/>
      <c r="B846" s="128"/>
      <c r="C846" s="60" t="s">
        <v>1310</v>
      </c>
      <c r="D846" s="24" t="s">
        <v>28</v>
      </c>
    </row>
    <row r="847" spans="1:4" ht="50.4" x14ac:dyDescent="0.35">
      <c r="A847" s="129"/>
      <c r="B847" s="128"/>
      <c r="C847" s="60" t="s">
        <v>1311</v>
      </c>
      <c r="D847" s="24" t="s">
        <v>28</v>
      </c>
    </row>
    <row r="848" spans="1:4" ht="33.6" x14ac:dyDescent="0.35">
      <c r="A848" s="129"/>
      <c r="B848" s="128"/>
      <c r="C848" s="60" t="s">
        <v>1312</v>
      </c>
      <c r="D848" s="24" t="s">
        <v>28</v>
      </c>
    </row>
    <row r="849" spans="1:4" ht="33.6" x14ac:dyDescent="0.35">
      <c r="A849" s="129"/>
      <c r="B849" s="128"/>
      <c r="C849" s="60" t="s">
        <v>1313</v>
      </c>
      <c r="D849" s="24" t="s">
        <v>28</v>
      </c>
    </row>
    <row r="850" spans="1:4" ht="50.4" x14ac:dyDescent="0.35">
      <c r="A850" s="129"/>
      <c r="B850" s="128"/>
      <c r="C850" s="60" t="s">
        <v>1314</v>
      </c>
      <c r="D850" s="24" t="s">
        <v>28</v>
      </c>
    </row>
    <row r="851" spans="1:4" ht="33.6" x14ac:dyDescent="0.35">
      <c r="A851" s="24">
        <v>2</v>
      </c>
      <c r="B851" s="25" t="s">
        <v>876</v>
      </c>
      <c r="C851" s="25" t="s">
        <v>1021</v>
      </c>
      <c r="D851" s="24" t="s">
        <v>28</v>
      </c>
    </row>
    <row r="852" spans="1:4" x14ac:dyDescent="0.35">
      <c r="A852" s="70" t="s">
        <v>1022</v>
      </c>
      <c r="B852" s="138" t="s">
        <v>1023</v>
      </c>
      <c r="C852" s="138"/>
      <c r="D852" s="26"/>
    </row>
    <row r="853" spans="1:4" x14ac:dyDescent="0.35">
      <c r="A853" s="26" t="s">
        <v>4</v>
      </c>
      <c r="B853" s="132" t="s">
        <v>363</v>
      </c>
      <c r="C853" s="132"/>
      <c r="D853" s="24"/>
    </row>
    <row r="854" spans="1:4" x14ac:dyDescent="0.35">
      <c r="A854" s="24">
        <v>1</v>
      </c>
      <c r="B854" s="25" t="s">
        <v>661</v>
      </c>
      <c r="C854" s="25" t="s">
        <v>662</v>
      </c>
      <c r="D854" s="24" t="s">
        <v>1557</v>
      </c>
    </row>
    <row r="855" spans="1:4" x14ac:dyDescent="0.35">
      <c r="A855" s="24">
        <v>2</v>
      </c>
      <c r="B855" s="25" t="s">
        <v>32</v>
      </c>
      <c r="C855" s="25" t="s">
        <v>662</v>
      </c>
      <c r="D855" s="66" t="s">
        <v>1558</v>
      </c>
    </row>
    <row r="856" spans="1:4" x14ac:dyDescent="0.35">
      <c r="A856" s="24">
        <v>3</v>
      </c>
      <c r="B856" s="25" t="s">
        <v>33</v>
      </c>
      <c r="C856" s="25" t="s">
        <v>662</v>
      </c>
      <c r="D856" s="121" t="s">
        <v>1559</v>
      </c>
    </row>
    <row r="857" spans="1:4" x14ac:dyDescent="0.35">
      <c r="A857" s="24">
        <v>4</v>
      </c>
      <c r="B857" s="25" t="s">
        <v>663</v>
      </c>
      <c r="C857" s="25" t="s">
        <v>664</v>
      </c>
      <c r="D857" s="106" t="s">
        <v>28</v>
      </c>
    </row>
    <row r="858" spans="1:4" x14ac:dyDescent="0.35">
      <c r="A858" s="24">
        <v>5</v>
      </c>
      <c r="B858" s="25" t="s">
        <v>665</v>
      </c>
      <c r="C858" s="25" t="s">
        <v>666</v>
      </c>
      <c r="D858" s="24" t="s">
        <v>28</v>
      </c>
    </row>
    <row r="859" spans="1:4" ht="33.6" x14ac:dyDescent="0.35">
      <c r="A859" s="24">
        <v>6</v>
      </c>
      <c r="B859" s="25" t="s">
        <v>667</v>
      </c>
      <c r="C859" s="25" t="s">
        <v>39</v>
      </c>
      <c r="D859" s="24" t="s">
        <v>28</v>
      </c>
    </row>
    <row r="860" spans="1:4" ht="33.6" x14ac:dyDescent="0.35">
      <c r="A860" s="24">
        <v>7</v>
      </c>
      <c r="B860" s="25" t="s">
        <v>668</v>
      </c>
      <c r="C860" s="25" t="s">
        <v>669</v>
      </c>
      <c r="D860" s="24" t="s">
        <v>28</v>
      </c>
    </row>
    <row r="861" spans="1:4" ht="33.6" x14ac:dyDescent="0.35">
      <c r="A861" s="24">
        <v>8</v>
      </c>
      <c r="B861" s="25" t="s">
        <v>34</v>
      </c>
      <c r="C861" s="25" t="s">
        <v>41</v>
      </c>
      <c r="D861" s="24" t="s">
        <v>28</v>
      </c>
    </row>
    <row r="862" spans="1:4" x14ac:dyDescent="0.35">
      <c r="A862" s="24">
        <v>9</v>
      </c>
      <c r="B862" s="25" t="s">
        <v>670</v>
      </c>
      <c r="C862" s="25" t="s">
        <v>671</v>
      </c>
      <c r="D862" s="24" t="s">
        <v>28</v>
      </c>
    </row>
    <row r="863" spans="1:4" ht="33.6" x14ac:dyDescent="0.35">
      <c r="A863" s="24">
        <v>10</v>
      </c>
      <c r="B863" s="25" t="s">
        <v>672</v>
      </c>
      <c r="C863" s="25" t="s">
        <v>849</v>
      </c>
      <c r="D863" s="24" t="s">
        <v>28</v>
      </c>
    </row>
    <row r="864" spans="1:4" ht="50.4" x14ac:dyDescent="0.35">
      <c r="A864" s="24">
        <v>11</v>
      </c>
      <c r="B864" s="25" t="s">
        <v>674</v>
      </c>
      <c r="C864" s="25" t="s">
        <v>708</v>
      </c>
      <c r="D864" s="24" t="s">
        <v>1524</v>
      </c>
    </row>
    <row r="865" spans="1:4" x14ac:dyDescent="0.35">
      <c r="A865" s="26" t="s">
        <v>6</v>
      </c>
      <c r="B865" s="132" t="s">
        <v>676</v>
      </c>
      <c r="C865" s="132"/>
      <c r="D865" s="24"/>
    </row>
    <row r="866" spans="1:4" x14ac:dyDescent="0.35">
      <c r="A866" s="7"/>
      <c r="B866" s="7"/>
      <c r="C866" s="60" t="s">
        <v>1315</v>
      </c>
      <c r="D866" s="24" t="s">
        <v>28</v>
      </c>
    </row>
    <row r="867" spans="1:4" x14ac:dyDescent="0.35">
      <c r="A867" s="24">
        <v>1</v>
      </c>
      <c r="B867" s="25" t="s">
        <v>1024</v>
      </c>
      <c r="C867" s="60" t="s">
        <v>1316</v>
      </c>
      <c r="D867" s="24" t="s">
        <v>28</v>
      </c>
    </row>
    <row r="868" spans="1:4" ht="33.6" x14ac:dyDescent="0.35">
      <c r="A868" s="129">
        <v>2</v>
      </c>
      <c r="B868" s="127" t="s">
        <v>1025</v>
      </c>
      <c r="C868" s="79" t="s">
        <v>1317</v>
      </c>
      <c r="D868" s="24" t="s">
        <v>28</v>
      </c>
    </row>
    <row r="869" spans="1:4" ht="33.6" x14ac:dyDescent="0.35">
      <c r="A869" s="129"/>
      <c r="B869" s="127"/>
      <c r="C869" s="79" t="s">
        <v>1318</v>
      </c>
      <c r="D869" s="24" t="s">
        <v>28</v>
      </c>
    </row>
    <row r="870" spans="1:4" x14ac:dyDescent="0.35">
      <c r="A870" s="24">
        <v>3</v>
      </c>
      <c r="B870" s="80" t="s">
        <v>1026</v>
      </c>
      <c r="C870" s="81" t="s">
        <v>1027</v>
      </c>
      <c r="D870" s="24" t="s">
        <v>28</v>
      </c>
    </row>
    <row r="871" spans="1:4" ht="33.6" x14ac:dyDescent="0.35">
      <c r="A871" s="129">
        <v>4</v>
      </c>
      <c r="B871" s="146" t="s">
        <v>1028</v>
      </c>
      <c r="C871" s="82" t="s">
        <v>1029</v>
      </c>
      <c r="D871" s="24" t="s">
        <v>28</v>
      </c>
    </row>
    <row r="872" spans="1:4" ht="33.6" x14ac:dyDescent="0.35">
      <c r="A872" s="129"/>
      <c r="B872" s="146"/>
      <c r="C872" s="82" t="s">
        <v>1030</v>
      </c>
      <c r="D872" s="24" t="s">
        <v>28</v>
      </c>
    </row>
    <row r="873" spans="1:4" ht="33.6" x14ac:dyDescent="0.35">
      <c r="A873" s="129"/>
      <c r="B873" s="146"/>
      <c r="C873" s="82" t="s">
        <v>1031</v>
      </c>
      <c r="D873" s="24" t="s">
        <v>28</v>
      </c>
    </row>
    <row r="874" spans="1:4" ht="33.6" x14ac:dyDescent="0.35">
      <c r="A874" s="129"/>
      <c r="B874" s="146"/>
      <c r="C874" s="81" t="s">
        <v>1032</v>
      </c>
      <c r="D874" s="24" t="s">
        <v>28</v>
      </c>
    </row>
    <row r="875" spans="1:4" x14ac:dyDescent="0.35">
      <c r="A875" s="24">
        <v>5</v>
      </c>
      <c r="B875" s="80" t="s">
        <v>1033</v>
      </c>
      <c r="C875" s="81" t="s">
        <v>1034</v>
      </c>
      <c r="D875" s="24" t="s">
        <v>28</v>
      </c>
    </row>
    <row r="876" spans="1:4" x14ac:dyDescent="0.35">
      <c r="A876" s="24">
        <v>6</v>
      </c>
      <c r="B876" s="80" t="s">
        <v>1035</v>
      </c>
      <c r="C876" s="81" t="s">
        <v>1036</v>
      </c>
      <c r="D876" s="24" t="s">
        <v>28</v>
      </c>
    </row>
    <row r="877" spans="1:4" x14ac:dyDescent="0.35">
      <c r="A877" s="129">
        <v>7</v>
      </c>
      <c r="B877" s="146" t="s">
        <v>1037</v>
      </c>
      <c r="C877" s="82" t="s">
        <v>1038</v>
      </c>
      <c r="D877" s="24" t="s">
        <v>28</v>
      </c>
    </row>
    <row r="878" spans="1:4" x14ac:dyDescent="0.35">
      <c r="A878" s="129"/>
      <c r="B878" s="146"/>
      <c r="C878" s="81" t="s">
        <v>1039</v>
      </c>
      <c r="D878" s="24" t="s">
        <v>28</v>
      </c>
    </row>
    <row r="879" spans="1:4" ht="33.6" x14ac:dyDescent="0.35">
      <c r="A879" s="24" t="s">
        <v>1040</v>
      </c>
      <c r="B879" s="80" t="s">
        <v>1041</v>
      </c>
      <c r="C879" s="81" t="s">
        <v>1042</v>
      </c>
      <c r="D879" s="24" t="s">
        <v>28</v>
      </c>
    </row>
    <row r="880" spans="1:4" x14ac:dyDescent="0.35">
      <c r="A880" s="24">
        <v>9</v>
      </c>
      <c r="B880" s="80" t="s">
        <v>1043</v>
      </c>
      <c r="C880" s="81" t="s">
        <v>1044</v>
      </c>
      <c r="D880" s="24" t="s">
        <v>28</v>
      </c>
    </row>
    <row r="881" spans="1:4" x14ac:dyDescent="0.35">
      <c r="A881" s="24">
        <v>10</v>
      </c>
      <c r="B881" s="80" t="s">
        <v>1045</v>
      </c>
      <c r="C881" s="81" t="s">
        <v>1046</v>
      </c>
      <c r="D881" s="24" t="s">
        <v>28</v>
      </c>
    </row>
    <row r="882" spans="1:4" ht="33.6" x14ac:dyDescent="0.35">
      <c r="A882" s="24">
        <v>11</v>
      </c>
      <c r="B882" s="80" t="s">
        <v>1047</v>
      </c>
      <c r="C882" s="81" t="s">
        <v>1048</v>
      </c>
      <c r="D882" s="24" t="s">
        <v>28</v>
      </c>
    </row>
    <row r="883" spans="1:4" ht="33.6" x14ac:dyDescent="0.35">
      <c r="A883" s="24">
        <v>12</v>
      </c>
      <c r="B883" s="25" t="s">
        <v>876</v>
      </c>
      <c r="C883" s="25" t="s">
        <v>1016</v>
      </c>
      <c r="D883" s="24" t="s">
        <v>28</v>
      </c>
    </row>
    <row r="884" spans="1:4" x14ac:dyDescent="0.35">
      <c r="A884" s="70" t="s">
        <v>1049</v>
      </c>
      <c r="B884" s="138" t="s">
        <v>1050</v>
      </c>
      <c r="C884" s="138"/>
      <c r="D884" s="26"/>
    </row>
    <row r="885" spans="1:4" x14ac:dyDescent="0.35">
      <c r="A885" s="26" t="s">
        <v>4</v>
      </c>
      <c r="B885" s="132" t="s">
        <v>363</v>
      </c>
      <c r="C885" s="132"/>
      <c r="D885" s="24"/>
    </row>
    <row r="886" spans="1:4" x14ac:dyDescent="0.35">
      <c r="A886" s="24">
        <v>1</v>
      </c>
      <c r="B886" s="25" t="s">
        <v>661</v>
      </c>
      <c r="C886" s="25" t="s">
        <v>662</v>
      </c>
      <c r="D886" s="24" t="s">
        <v>1560</v>
      </c>
    </row>
    <row r="887" spans="1:4" x14ac:dyDescent="0.35">
      <c r="A887" s="24">
        <v>2</v>
      </c>
      <c r="B887" s="25" t="s">
        <v>32</v>
      </c>
      <c r="C887" s="25" t="s">
        <v>662</v>
      </c>
      <c r="D887" s="24" t="s">
        <v>1560</v>
      </c>
    </row>
    <row r="888" spans="1:4" x14ac:dyDescent="0.35">
      <c r="A888" s="24">
        <v>3</v>
      </c>
      <c r="B888" s="25" t="s">
        <v>33</v>
      </c>
      <c r="C888" s="25" t="s">
        <v>662</v>
      </c>
      <c r="D888" s="24" t="s">
        <v>1506</v>
      </c>
    </row>
    <row r="889" spans="1:4" x14ac:dyDescent="0.35">
      <c r="A889" s="24">
        <v>4</v>
      </c>
      <c r="B889" s="25" t="s">
        <v>663</v>
      </c>
      <c r="C889" s="25" t="s">
        <v>664</v>
      </c>
      <c r="D889" s="24" t="s">
        <v>28</v>
      </c>
    </row>
    <row r="890" spans="1:4" x14ac:dyDescent="0.35">
      <c r="A890" s="24">
        <v>5</v>
      </c>
      <c r="B890" s="25" t="s">
        <v>665</v>
      </c>
      <c r="C890" s="25" t="s">
        <v>666</v>
      </c>
      <c r="D890" s="24" t="s">
        <v>28</v>
      </c>
    </row>
    <row r="891" spans="1:4" ht="33.6" x14ac:dyDescent="0.35">
      <c r="A891" s="24">
        <v>6</v>
      </c>
      <c r="B891" s="25" t="s">
        <v>667</v>
      </c>
      <c r="C891" s="25" t="s">
        <v>39</v>
      </c>
      <c r="D891" s="24" t="s">
        <v>28</v>
      </c>
    </row>
    <row r="892" spans="1:4" ht="33.6" x14ac:dyDescent="0.35">
      <c r="A892" s="24">
        <v>7</v>
      </c>
      <c r="B892" s="25" t="s">
        <v>668</v>
      </c>
      <c r="C892" s="25" t="s">
        <v>669</v>
      </c>
      <c r="D892" s="24" t="s">
        <v>28</v>
      </c>
    </row>
    <row r="893" spans="1:4" ht="33.6" x14ac:dyDescent="0.35">
      <c r="A893" s="24">
        <v>8</v>
      </c>
      <c r="B893" s="25" t="s">
        <v>34</v>
      </c>
      <c r="C893" s="25" t="s">
        <v>41</v>
      </c>
      <c r="D893" s="24" t="s">
        <v>28</v>
      </c>
    </row>
    <row r="894" spans="1:4" x14ac:dyDescent="0.35">
      <c r="A894" s="24">
        <v>9</v>
      </c>
      <c r="B894" s="25" t="s">
        <v>670</v>
      </c>
      <c r="C894" s="25" t="s">
        <v>671</v>
      </c>
      <c r="D894" s="24" t="s">
        <v>28</v>
      </c>
    </row>
    <row r="895" spans="1:4" ht="33.6" x14ac:dyDescent="0.35">
      <c r="A895" s="24">
        <v>10</v>
      </c>
      <c r="B895" s="25" t="s">
        <v>672</v>
      </c>
      <c r="C895" s="25" t="s">
        <v>849</v>
      </c>
      <c r="D895" s="24" t="s">
        <v>28</v>
      </c>
    </row>
    <row r="896" spans="1:4" ht="50.4" x14ac:dyDescent="0.35">
      <c r="A896" s="24">
        <v>11</v>
      </c>
      <c r="B896" s="25" t="s">
        <v>674</v>
      </c>
      <c r="C896" s="25" t="s">
        <v>708</v>
      </c>
      <c r="D896" s="24" t="s">
        <v>1524</v>
      </c>
    </row>
    <row r="897" spans="1:4" x14ac:dyDescent="0.35">
      <c r="A897" s="26" t="s">
        <v>6</v>
      </c>
      <c r="B897" s="132" t="s">
        <v>676</v>
      </c>
      <c r="C897" s="132"/>
      <c r="D897" s="24"/>
    </row>
    <row r="898" spans="1:4" x14ac:dyDescent="0.35">
      <c r="A898" s="134">
        <v>1</v>
      </c>
      <c r="B898" s="136" t="s">
        <v>995</v>
      </c>
      <c r="C898" s="60" t="s">
        <v>1274</v>
      </c>
      <c r="D898" s="24" t="s">
        <v>28</v>
      </c>
    </row>
    <row r="899" spans="1:4" x14ac:dyDescent="0.35">
      <c r="A899" s="144"/>
      <c r="B899" s="143"/>
      <c r="C899" s="60" t="s">
        <v>1275</v>
      </c>
      <c r="D899" s="24" t="s">
        <v>28</v>
      </c>
    </row>
    <row r="900" spans="1:4" x14ac:dyDescent="0.35">
      <c r="A900" s="144"/>
      <c r="B900" s="143"/>
      <c r="C900" s="60" t="s">
        <v>1276</v>
      </c>
      <c r="D900" s="24" t="s">
        <v>28</v>
      </c>
    </row>
    <row r="901" spans="1:4" ht="33.6" x14ac:dyDescent="0.35">
      <c r="A901" s="144"/>
      <c r="B901" s="143"/>
      <c r="C901" s="60" t="s">
        <v>1277</v>
      </c>
      <c r="D901" s="24" t="s">
        <v>28</v>
      </c>
    </row>
    <row r="902" spans="1:4" x14ac:dyDescent="0.35">
      <c r="A902" s="144"/>
      <c r="B902" s="143"/>
      <c r="C902" s="60" t="s">
        <v>1278</v>
      </c>
      <c r="D902" s="24" t="s">
        <v>28</v>
      </c>
    </row>
    <row r="903" spans="1:4" x14ac:dyDescent="0.35">
      <c r="A903" s="144"/>
      <c r="B903" s="143"/>
      <c r="C903" s="60" t="s">
        <v>1279</v>
      </c>
      <c r="D903" s="24" t="s">
        <v>28</v>
      </c>
    </row>
    <row r="904" spans="1:4" ht="33.6" x14ac:dyDescent="0.35">
      <c r="A904" s="144"/>
      <c r="B904" s="143"/>
      <c r="C904" s="60" t="s">
        <v>1280</v>
      </c>
      <c r="D904" s="24" t="s">
        <v>28</v>
      </c>
    </row>
    <row r="905" spans="1:4" ht="33.6" x14ac:dyDescent="0.35">
      <c r="A905" s="144"/>
      <c r="B905" s="143"/>
      <c r="C905" s="60" t="s">
        <v>1281</v>
      </c>
      <c r="D905" s="24" t="s">
        <v>28</v>
      </c>
    </row>
    <row r="906" spans="1:4" x14ac:dyDescent="0.35">
      <c r="A906" s="144"/>
      <c r="B906" s="143"/>
      <c r="C906" s="60" t="s">
        <v>1282</v>
      </c>
      <c r="D906" s="24" t="s">
        <v>28</v>
      </c>
    </row>
    <row r="907" spans="1:4" x14ac:dyDescent="0.35">
      <c r="A907" s="144"/>
      <c r="B907" s="143"/>
      <c r="C907" s="60" t="s">
        <v>1283</v>
      </c>
      <c r="D907" s="24" t="s">
        <v>28</v>
      </c>
    </row>
    <row r="908" spans="1:4" x14ac:dyDescent="0.35">
      <c r="A908" s="135"/>
      <c r="B908" s="137"/>
      <c r="C908" s="60" t="s">
        <v>1284</v>
      </c>
      <c r="D908" s="24" t="s">
        <v>28</v>
      </c>
    </row>
    <row r="909" spans="1:4" x14ac:dyDescent="0.35">
      <c r="A909" s="24">
        <v>2</v>
      </c>
      <c r="B909" s="81" t="s">
        <v>1051</v>
      </c>
      <c r="C909" s="81" t="s">
        <v>1052</v>
      </c>
      <c r="D909" s="24" t="s">
        <v>28</v>
      </c>
    </row>
    <row r="910" spans="1:4" x14ac:dyDescent="0.35">
      <c r="A910" s="24">
        <v>3</v>
      </c>
      <c r="B910" s="81" t="s">
        <v>1053</v>
      </c>
      <c r="C910" s="81" t="s">
        <v>1054</v>
      </c>
      <c r="D910" s="24" t="s">
        <v>28</v>
      </c>
    </row>
    <row r="911" spans="1:4" ht="33.6" x14ac:dyDescent="0.35">
      <c r="A911" s="24">
        <v>4</v>
      </c>
      <c r="B911" s="81" t="s">
        <v>1055</v>
      </c>
      <c r="C911" s="81" t="s">
        <v>1056</v>
      </c>
      <c r="D911" s="24" t="s">
        <v>28</v>
      </c>
    </row>
    <row r="912" spans="1:4" ht="67.2" x14ac:dyDescent="0.35">
      <c r="A912" s="24">
        <v>5</v>
      </c>
      <c r="B912" s="81" t="s">
        <v>1057</v>
      </c>
      <c r="C912" s="81" t="s">
        <v>1058</v>
      </c>
      <c r="D912" s="24" t="s">
        <v>28</v>
      </c>
    </row>
    <row r="913" spans="1:4" ht="50.4" x14ac:dyDescent="0.35">
      <c r="A913" s="24">
        <v>6</v>
      </c>
      <c r="B913" s="81" t="s">
        <v>1059</v>
      </c>
      <c r="C913" s="81" t="s">
        <v>1060</v>
      </c>
      <c r="D913" s="24" t="s">
        <v>28</v>
      </c>
    </row>
    <row r="914" spans="1:4" x14ac:dyDescent="0.35">
      <c r="A914" s="24">
        <v>7</v>
      </c>
      <c r="B914" s="81" t="s">
        <v>1061</v>
      </c>
      <c r="C914" s="81" t="s">
        <v>1062</v>
      </c>
      <c r="D914" s="24" t="s">
        <v>28</v>
      </c>
    </row>
    <row r="915" spans="1:4" x14ac:dyDescent="0.35">
      <c r="A915" s="24">
        <v>8</v>
      </c>
      <c r="B915" s="81" t="s">
        <v>1063</v>
      </c>
      <c r="C915" s="81" t="s">
        <v>1064</v>
      </c>
      <c r="D915" s="24" t="s">
        <v>28</v>
      </c>
    </row>
    <row r="916" spans="1:4" x14ac:dyDescent="0.35">
      <c r="A916" s="24">
        <v>9</v>
      </c>
      <c r="B916" s="81" t="s">
        <v>1065</v>
      </c>
      <c r="C916" s="83">
        <v>8</v>
      </c>
      <c r="D916" s="24" t="s">
        <v>28</v>
      </c>
    </row>
    <row r="917" spans="1:4" x14ac:dyDescent="0.35">
      <c r="A917" s="24">
        <v>10</v>
      </c>
      <c r="B917" s="81" t="s">
        <v>1066</v>
      </c>
      <c r="C917" s="81" t="s">
        <v>1067</v>
      </c>
      <c r="D917" s="24" t="s">
        <v>28</v>
      </c>
    </row>
    <row r="918" spans="1:4" x14ac:dyDescent="0.35">
      <c r="A918" s="24">
        <v>12</v>
      </c>
      <c r="B918" s="25" t="s">
        <v>876</v>
      </c>
      <c r="C918" s="25" t="s">
        <v>1068</v>
      </c>
      <c r="D918" s="24" t="s">
        <v>28</v>
      </c>
    </row>
    <row r="919" spans="1:4" x14ac:dyDescent="0.35">
      <c r="A919" s="72"/>
      <c r="B919" s="73"/>
      <c r="C919" s="72"/>
      <c r="D919" s="72"/>
    </row>
    <row r="920" spans="1:4" x14ac:dyDescent="0.35">
      <c r="A920" s="77" t="s">
        <v>222</v>
      </c>
      <c r="B920" s="76" t="s">
        <v>1069</v>
      </c>
      <c r="C920" s="72"/>
      <c r="D920" s="72"/>
    </row>
    <row r="921" spans="1:4" ht="17.399999999999999" customHeight="1" x14ac:dyDescent="0.35">
      <c r="A921" s="138" t="s">
        <v>0</v>
      </c>
      <c r="B921" s="138" t="s">
        <v>659</v>
      </c>
      <c r="C921" s="138"/>
      <c r="D921" s="138" t="s">
        <v>3</v>
      </c>
    </row>
    <row r="922" spans="1:4" x14ac:dyDescent="0.35">
      <c r="A922" s="145"/>
      <c r="B922" s="49" t="s">
        <v>12</v>
      </c>
      <c r="C922" s="49" t="s">
        <v>225</v>
      </c>
      <c r="D922" s="145"/>
    </row>
    <row r="923" spans="1:4" x14ac:dyDescent="0.35">
      <c r="A923" s="70" t="s">
        <v>1070</v>
      </c>
      <c r="B923" s="138" t="s">
        <v>1071</v>
      </c>
      <c r="C923" s="138"/>
      <c r="D923" s="26"/>
    </row>
    <row r="924" spans="1:4" x14ac:dyDescent="0.35">
      <c r="A924" s="26" t="s">
        <v>4</v>
      </c>
      <c r="B924" s="132" t="s">
        <v>363</v>
      </c>
      <c r="C924" s="132"/>
      <c r="D924" s="24"/>
    </row>
    <row r="925" spans="1:4" x14ac:dyDescent="0.35">
      <c r="A925" s="24">
        <v>1</v>
      </c>
      <c r="B925" s="25" t="s">
        <v>661</v>
      </c>
      <c r="C925" s="25" t="s">
        <v>662</v>
      </c>
      <c r="D925" s="24" t="s">
        <v>1561</v>
      </c>
    </row>
    <row r="926" spans="1:4" x14ac:dyDescent="0.35">
      <c r="A926" s="24">
        <v>2</v>
      </c>
      <c r="B926" s="25" t="s">
        <v>32</v>
      </c>
      <c r="C926" s="25" t="s">
        <v>662</v>
      </c>
      <c r="D926" s="24" t="s">
        <v>1562</v>
      </c>
    </row>
    <row r="927" spans="1:4" x14ac:dyDescent="0.35">
      <c r="A927" s="24">
        <v>3</v>
      </c>
      <c r="B927" s="25" t="s">
        <v>33</v>
      </c>
      <c r="C927" s="25" t="s">
        <v>662</v>
      </c>
      <c r="D927" s="24" t="s">
        <v>1563</v>
      </c>
    </row>
    <row r="928" spans="1:4" x14ac:dyDescent="0.35">
      <c r="A928" s="24">
        <v>4</v>
      </c>
      <c r="B928" s="25" t="s">
        <v>663</v>
      </c>
      <c r="C928" s="25" t="s">
        <v>664</v>
      </c>
      <c r="D928" s="24" t="s">
        <v>28</v>
      </c>
    </row>
    <row r="929" spans="1:4" x14ac:dyDescent="0.35">
      <c r="A929" s="24">
        <v>5</v>
      </c>
      <c r="B929" s="25" t="s">
        <v>665</v>
      </c>
      <c r="C929" s="25" t="s">
        <v>666</v>
      </c>
      <c r="D929" s="24" t="s">
        <v>28</v>
      </c>
    </row>
    <row r="930" spans="1:4" ht="33.6" x14ac:dyDescent="0.35">
      <c r="A930" s="24">
        <v>6</v>
      </c>
      <c r="B930" s="25" t="s">
        <v>667</v>
      </c>
      <c r="C930" s="25" t="s">
        <v>39</v>
      </c>
      <c r="D930" s="24" t="s">
        <v>28</v>
      </c>
    </row>
    <row r="931" spans="1:4" ht="33.6" x14ac:dyDescent="0.35">
      <c r="A931" s="24">
        <v>7</v>
      </c>
      <c r="B931" s="25" t="s">
        <v>668</v>
      </c>
      <c r="C931" s="25" t="s">
        <v>669</v>
      </c>
      <c r="D931" s="24" t="s">
        <v>28</v>
      </c>
    </row>
    <row r="932" spans="1:4" ht="33.6" x14ac:dyDescent="0.35">
      <c r="A932" s="24">
        <v>8</v>
      </c>
      <c r="B932" s="25" t="s">
        <v>34</v>
      </c>
      <c r="C932" s="25" t="s">
        <v>41</v>
      </c>
      <c r="D932" s="24" t="s">
        <v>28</v>
      </c>
    </row>
    <row r="933" spans="1:4" x14ac:dyDescent="0.35">
      <c r="A933" s="24">
        <v>9</v>
      </c>
      <c r="B933" s="25" t="s">
        <v>670</v>
      </c>
      <c r="C933" s="25" t="s">
        <v>671</v>
      </c>
      <c r="D933" s="24" t="s">
        <v>28</v>
      </c>
    </row>
    <row r="934" spans="1:4" ht="33.6" x14ac:dyDescent="0.35">
      <c r="A934" s="24">
        <v>10</v>
      </c>
      <c r="B934" s="25" t="s">
        <v>672</v>
      </c>
      <c r="C934" s="25" t="s">
        <v>849</v>
      </c>
      <c r="D934" s="24" t="s">
        <v>28</v>
      </c>
    </row>
    <row r="935" spans="1:4" ht="50.4" x14ac:dyDescent="0.35">
      <c r="A935" s="24">
        <v>11</v>
      </c>
      <c r="B935" s="25" t="s">
        <v>674</v>
      </c>
      <c r="C935" s="25" t="s">
        <v>708</v>
      </c>
      <c r="D935" s="24" t="s">
        <v>1524</v>
      </c>
    </row>
    <row r="936" spans="1:4" x14ac:dyDescent="0.35">
      <c r="A936" s="26" t="s">
        <v>6</v>
      </c>
      <c r="B936" s="132" t="s">
        <v>676</v>
      </c>
      <c r="C936" s="132"/>
      <c r="D936" s="24"/>
    </row>
    <row r="937" spans="1:4" ht="33.6" x14ac:dyDescent="0.35">
      <c r="A937" s="134">
        <v>1</v>
      </c>
      <c r="B937" s="136" t="s">
        <v>995</v>
      </c>
      <c r="C937" s="60" t="s">
        <v>1319</v>
      </c>
      <c r="D937" s="24" t="s">
        <v>28</v>
      </c>
    </row>
    <row r="938" spans="1:4" x14ac:dyDescent="0.35">
      <c r="A938" s="144"/>
      <c r="B938" s="143"/>
      <c r="C938" s="60" t="s">
        <v>1320</v>
      </c>
      <c r="D938" s="24" t="s">
        <v>28</v>
      </c>
    </row>
    <row r="939" spans="1:4" ht="33.6" x14ac:dyDescent="0.35">
      <c r="A939" s="144"/>
      <c r="B939" s="143"/>
      <c r="C939" s="60" t="s">
        <v>1321</v>
      </c>
      <c r="D939" s="24" t="s">
        <v>28</v>
      </c>
    </row>
    <row r="940" spans="1:4" x14ac:dyDescent="0.35">
      <c r="A940" s="144"/>
      <c r="B940" s="143"/>
      <c r="C940" s="60" t="s">
        <v>1322</v>
      </c>
      <c r="D940" s="24" t="s">
        <v>28</v>
      </c>
    </row>
    <row r="941" spans="1:4" ht="33.6" x14ac:dyDescent="0.35">
      <c r="A941" s="144"/>
      <c r="B941" s="143"/>
      <c r="C941" s="60" t="s">
        <v>1323</v>
      </c>
      <c r="D941" s="24" t="s">
        <v>28</v>
      </c>
    </row>
    <row r="942" spans="1:4" ht="33.6" x14ac:dyDescent="0.35">
      <c r="A942" s="144"/>
      <c r="B942" s="143"/>
      <c r="C942" s="60" t="s">
        <v>1324</v>
      </c>
      <c r="D942" s="24" t="s">
        <v>28</v>
      </c>
    </row>
    <row r="943" spans="1:4" x14ac:dyDescent="0.35">
      <c r="A943" s="144"/>
      <c r="B943" s="143"/>
      <c r="C943" s="60" t="s">
        <v>1325</v>
      </c>
      <c r="D943" s="24" t="s">
        <v>28</v>
      </c>
    </row>
    <row r="944" spans="1:4" ht="33.6" x14ac:dyDescent="0.35">
      <c r="A944" s="144"/>
      <c r="B944" s="143"/>
      <c r="C944" s="60" t="s">
        <v>1326</v>
      </c>
      <c r="D944" s="24" t="s">
        <v>28</v>
      </c>
    </row>
    <row r="945" spans="1:4" ht="33.6" x14ac:dyDescent="0.35">
      <c r="A945" s="144"/>
      <c r="B945" s="143"/>
      <c r="C945" s="60" t="s">
        <v>1327</v>
      </c>
      <c r="D945" s="24" t="s">
        <v>28</v>
      </c>
    </row>
    <row r="946" spans="1:4" ht="50.4" x14ac:dyDescent="0.35">
      <c r="A946" s="144"/>
      <c r="B946" s="143"/>
      <c r="C946" s="60" t="s">
        <v>1328</v>
      </c>
      <c r="D946" s="24" t="s">
        <v>28</v>
      </c>
    </row>
    <row r="947" spans="1:4" x14ac:dyDescent="0.35">
      <c r="A947" s="144"/>
      <c r="B947" s="143"/>
      <c r="C947" s="60" t="s">
        <v>1329</v>
      </c>
      <c r="D947" s="24" t="s">
        <v>28</v>
      </c>
    </row>
    <row r="948" spans="1:4" x14ac:dyDescent="0.35">
      <c r="A948" s="144"/>
      <c r="B948" s="143"/>
      <c r="C948" s="60" t="s">
        <v>1330</v>
      </c>
      <c r="D948" s="24" t="s">
        <v>28</v>
      </c>
    </row>
    <row r="949" spans="1:4" ht="50.4" x14ac:dyDescent="0.35">
      <c r="A949" s="144"/>
      <c r="B949" s="143"/>
      <c r="C949" s="60" t="s">
        <v>1331</v>
      </c>
      <c r="D949" s="24" t="s">
        <v>28</v>
      </c>
    </row>
    <row r="950" spans="1:4" ht="33.6" x14ac:dyDescent="0.35">
      <c r="A950" s="144"/>
      <c r="B950" s="143"/>
      <c r="C950" s="60" t="s">
        <v>1332</v>
      </c>
      <c r="D950" s="24" t="s">
        <v>28</v>
      </c>
    </row>
    <row r="951" spans="1:4" ht="33.6" x14ac:dyDescent="0.35">
      <c r="A951" s="144"/>
      <c r="B951" s="143"/>
      <c r="C951" s="60" t="s">
        <v>1333</v>
      </c>
      <c r="D951" s="24" t="s">
        <v>28</v>
      </c>
    </row>
    <row r="952" spans="1:4" x14ac:dyDescent="0.35">
      <c r="A952" s="144"/>
      <c r="B952" s="143"/>
      <c r="C952" s="60" t="s">
        <v>1334</v>
      </c>
      <c r="D952" s="24" t="s">
        <v>28</v>
      </c>
    </row>
    <row r="953" spans="1:4" ht="50.4" x14ac:dyDescent="0.35">
      <c r="A953" s="144"/>
      <c r="B953" s="143"/>
      <c r="C953" s="60" t="s">
        <v>1335</v>
      </c>
      <c r="D953" s="24" t="s">
        <v>28</v>
      </c>
    </row>
    <row r="954" spans="1:4" x14ac:dyDescent="0.35">
      <c r="A954" s="144"/>
      <c r="B954" s="143"/>
      <c r="C954" s="48" t="s">
        <v>1072</v>
      </c>
      <c r="D954" s="24" t="s">
        <v>28</v>
      </c>
    </row>
    <row r="955" spans="1:4" ht="67.2" x14ac:dyDescent="0.35">
      <c r="A955" s="144"/>
      <c r="B955" s="143"/>
      <c r="C955" s="60" t="s">
        <v>1336</v>
      </c>
      <c r="D955" s="24" t="s">
        <v>28</v>
      </c>
    </row>
    <row r="956" spans="1:4" ht="50.4" x14ac:dyDescent="0.35">
      <c r="A956" s="144"/>
      <c r="B956" s="143"/>
      <c r="C956" s="60" t="s">
        <v>1337</v>
      </c>
      <c r="D956" s="24" t="s">
        <v>28</v>
      </c>
    </row>
    <row r="957" spans="1:4" ht="33.6" x14ac:dyDescent="0.35">
      <c r="A957" s="144"/>
      <c r="B957" s="143"/>
      <c r="C957" s="60" t="s">
        <v>1338</v>
      </c>
      <c r="D957" s="24" t="s">
        <v>28</v>
      </c>
    </row>
    <row r="958" spans="1:4" ht="33.6" x14ac:dyDescent="0.35">
      <c r="A958" s="144"/>
      <c r="B958" s="143"/>
      <c r="C958" s="60" t="s">
        <v>1339</v>
      </c>
      <c r="D958" s="24" t="s">
        <v>28</v>
      </c>
    </row>
    <row r="959" spans="1:4" ht="33.6" x14ac:dyDescent="0.35">
      <c r="A959" s="135"/>
      <c r="B959" s="137"/>
      <c r="C959" s="60" t="s">
        <v>1340</v>
      </c>
      <c r="D959" s="24" t="s">
        <v>28</v>
      </c>
    </row>
    <row r="960" spans="1:4" ht="33.6" x14ac:dyDescent="0.35">
      <c r="A960" s="24">
        <v>2</v>
      </c>
      <c r="B960" s="25" t="s">
        <v>876</v>
      </c>
      <c r="C960" s="25" t="s">
        <v>1016</v>
      </c>
      <c r="D960" s="24" t="s">
        <v>28</v>
      </c>
    </row>
    <row r="961" spans="1:4" x14ac:dyDescent="0.35">
      <c r="A961" s="70" t="s">
        <v>1073</v>
      </c>
      <c r="B961" s="138" t="s">
        <v>1074</v>
      </c>
      <c r="C961" s="138"/>
      <c r="D961" s="26"/>
    </row>
    <row r="962" spans="1:4" x14ac:dyDescent="0.35">
      <c r="A962" s="26" t="s">
        <v>4</v>
      </c>
      <c r="B962" s="132" t="s">
        <v>363</v>
      </c>
      <c r="C962" s="132"/>
      <c r="D962" s="24"/>
    </row>
    <row r="963" spans="1:4" x14ac:dyDescent="0.35">
      <c r="A963" s="24">
        <v>1</v>
      </c>
      <c r="B963" s="25" t="s">
        <v>661</v>
      </c>
      <c r="C963" s="25" t="s">
        <v>662</v>
      </c>
      <c r="D963" s="24" t="s">
        <v>1554</v>
      </c>
    </row>
    <row r="964" spans="1:4" x14ac:dyDescent="0.35">
      <c r="A964" s="24">
        <v>2</v>
      </c>
      <c r="B964" s="25" t="s">
        <v>32</v>
      </c>
      <c r="C964" s="25" t="s">
        <v>662</v>
      </c>
      <c r="D964" s="24" t="s">
        <v>1554</v>
      </c>
    </row>
    <row r="965" spans="1:4" x14ac:dyDescent="0.35">
      <c r="A965" s="24">
        <v>3</v>
      </c>
      <c r="B965" s="25" t="s">
        <v>33</v>
      </c>
      <c r="C965" s="25" t="s">
        <v>662</v>
      </c>
      <c r="D965" s="24" t="s">
        <v>1506</v>
      </c>
    </row>
    <row r="966" spans="1:4" x14ac:dyDescent="0.35">
      <c r="A966" s="24">
        <v>4</v>
      </c>
      <c r="B966" s="25" t="s">
        <v>663</v>
      </c>
      <c r="C966" s="25" t="s">
        <v>664</v>
      </c>
      <c r="D966" s="24" t="s">
        <v>28</v>
      </c>
    </row>
    <row r="967" spans="1:4" x14ac:dyDescent="0.35">
      <c r="A967" s="24">
        <v>5</v>
      </c>
      <c r="B967" s="25" t="s">
        <v>665</v>
      </c>
      <c r="C967" s="25" t="s">
        <v>666</v>
      </c>
      <c r="D967" s="24" t="s">
        <v>28</v>
      </c>
    </row>
    <row r="968" spans="1:4" ht="33.6" x14ac:dyDescent="0.35">
      <c r="A968" s="24">
        <v>6</v>
      </c>
      <c r="B968" s="25" t="s">
        <v>667</v>
      </c>
      <c r="C968" s="25" t="s">
        <v>39</v>
      </c>
      <c r="D968" s="24" t="s">
        <v>28</v>
      </c>
    </row>
    <row r="969" spans="1:4" ht="33.6" x14ac:dyDescent="0.35">
      <c r="A969" s="24">
        <v>7</v>
      </c>
      <c r="B969" s="25" t="s">
        <v>668</v>
      </c>
      <c r="C969" s="25" t="s">
        <v>669</v>
      </c>
      <c r="D969" s="24" t="s">
        <v>28</v>
      </c>
    </row>
    <row r="970" spans="1:4" ht="33.6" x14ac:dyDescent="0.35">
      <c r="A970" s="24">
        <v>8</v>
      </c>
      <c r="B970" s="25" t="s">
        <v>34</v>
      </c>
      <c r="C970" s="25" t="s">
        <v>41</v>
      </c>
      <c r="D970" s="24" t="s">
        <v>28</v>
      </c>
    </row>
    <row r="971" spans="1:4" x14ac:dyDescent="0.35">
      <c r="A971" s="24">
        <v>9</v>
      </c>
      <c r="B971" s="25" t="s">
        <v>670</v>
      </c>
      <c r="C971" s="25" t="s">
        <v>671</v>
      </c>
      <c r="D971" s="24" t="s">
        <v>28</v>
      </c>
    </row>
    <row r="972" spans="1:4" ht="33.6" x14ac:dyDescent="0.35">
      <c r="A972" s="24">
        <v>10</v>
      </c>
      <c r="B972" s="25" t="s">
        <v>672</v>
      </c>
      <c r="C972" s="25" t="s">
        <v>849</v>
      </c>
      <c r="D972" s="24" t="s">
        <v>28</v>
      </c>
    </row>
    <row r="973" spans="1:4" ht="50.4" x14ac:dyDescent="0.35">
      <c r="A973" s="24">
        <v>11</v>
      </c>
      <c r="B973" s="25" t="s">
        <v>674</v>
      </c>
      <c r="C973" s="25" t="s">
        <v>708</v>
      </c>
      <c r="D973" s="24" t="s">
        <v>1524</v>
      </c>
    </row>
    <row r="974" spans="1:4" x14ac:dyDescent="0.35">
      <c r="A974" s="26" t="s">
        <v>6</v>
      </c>
      <c r="B974" s="132" t="s">
        <v>676</v>
      </c>
      <c r="C974" s="132"/>
      <c r="D974" s="24"/>
    </row>
    <row r="975" spans="1:4" ht="50.4" x14ac:dyDescent="0.35">
      <c r="A975" s="129">
        <v>1</v>
      </c>
      <c r="B975" s="128" t="s">
        <v>5</v>
      </c>
      <c r="C975" s="30" t="s">
        <v>1341</v>
      </c>
      <c r="D975" s="24" t="s">
        <v>28</v>
      </c>
    </row>
    <row r="976" spans="1:4" ht="50.4" x14ac:dyDescent="0.35">
      <c r="A976" s="129"/>
      <c r="B976" s="128"/>
      <c r="C976" s="30" t="s">
        <v>1342</v>
      </c>
      <c r="D976" s="24" t="s">
        <v>28</v>
      </c>
    </row>
    <row r="977" spans="1:4" x14ac:dyDescent="0.35">
      <c r="A977" s="129">
        <v>2</v>
      </c>
      <c r="B977" s="128" t="s">
        <v>995</v>
      </c>
      <c r="C977" s="30" t="s">
        <v>1343</v>
      </c>
      <c r="D977" s="24" t="s">
        <v>28</v>
      </c>
    </row>
    <row r="978" spans="1:4" x14ac:dyDescent="0.35">
      <c r="A978" s="129"/>
      <c r="B978" s="128"/>
      <c r="C978" s="30" t="s">
        <v>1344</v>
      </c>
      <c r="D978" s="24" t="s">
        <v>28</v>
      </c>
    </row>
    <row r="979" spans="1:4" x14ac:dyDescent="0.35">
      <c r="A979" s="129"/>
      <c r="B979" s="128"/>
      <c r="C979" s="30" t="s">
        <v>1345</v>
      </c>
      <c r="D979" s="24" t="s">
        <v>28</v>
      </c>
    </row>
    <row r="980" spans="1:4" x14ac:dyDescent="0.35">
      <c r="A980" s="129"/>
      <c r="B980" s="128"/>
      <c r="C980" s="30" t="s">
        <v>1346</v>
      </c>
      <c r="D980" s="24" t="s">
        <v>28</v>
      </c>
    </row>
    <row r="981" spans="1:4" x14ac:dyDescent="0.35">
      <c r="A981" s="129"/>
      <c r="B981" s="128"/>
      <c r="C981" s="30" t="s">
        <v>1347</v>
      </c>
      <c r="D981" s="24" t="s">
        <v>28</v>
      </c>
    </row>
    <row r="982" spans="1:4" ht="33.6" x14ac:dyDescent="0.35">
      <c r="A982" s="129"/>
      <c r="B982" s="128"/>
      <c r="C982" s="30" t="s">
        <v>1348</v>
      </c>
      <c r="D982" s="24" t="s">
        <v>28</v>
      </c>
    </row>
    <row r="983" spans="1:4" ht="33.6" x14ac:dyDescent="0.35">
      <c r="A983" s="129"/>
      <c r="B983" s="128"/>
      <c r="C983" s="30" t="s">
        <v>1349</v>
      </c>
      <c r="D983" s="24" t="s">
        <v>28</v>
      </c>
    </row>
    <row r="984" spans="1:4" x14ac:dyDescent="0.35">
      <c r="A984" s="129"/>
      <c r="B984" s="128"/>
      <c r="C984" s="30" t="s">
        <v>1350</v>
      </c>
      <c r="D984" s="24" t="s">
        <v>28</v>
      </c>
    </row>
    <row r="985" spans="1:4" x14ac:dyDescent="0.35">
      <c r="A985" s="129"/>
      <c r="B985" s="128"/>
      <c r="C985" s="30" t="s">
        <v>1351</v>
      </c>
      <c r="D985" s="24" t="s">
        <v>28</v>
      </c>
    </row>
    <row r="986" spans="1:4" x14ac:dyDescent="0.35">
      <c r="A986" s="24">
        <v>3</v>
      </c>
      <c r="B986" s="25" t="s">
        <v>697</v>
      </c>
      <c r="C986" s="25" t="s">
        <v>1075</v>
      </c>
      <c r="D986" s="24" t="s">
        <v>28</v>
      </c>
    </row>
    <row r="987" spans="1:4" x14ac:dyDescent="0.35">
      <c r="A987" s="24" t="s">
        <v>129</v>
      </c>
      <c r="B987" s="25" t="s">
        <v>876</v>
      </c>
      <c r="C987" s="25" t="s">
        <v>1076</v>
      </c>
      <c r="D987" s="24" t="s">
        <v>28</v>
      </c>
    </row>
    <row r="988" spans="1:4" x14ac:dyDescent="0.35">
      <c r="A988" s="70" t="s">
        <v>1077</v>
      </c>
      <c r="B988" s="138" t="s">
        <v>1078</v>
      </c>
      <c r="C988" s="138"/>
      <c r="D988" s="24"/>
    </row>
    <row r="989" spans="1:4" x14ac:dyDescent="0.35">
      <c r="A989" s="26" t="s">
        <v>4</v>
      </c>
      <c r="B989" s="132" t="s">
        <v>363</v>
      </c>
      <c r="C989" s="132"/>
      <c r="D989" s="24"/>
    </row>
    <row r="990" spans="1:4" x14ac:dyDescent="0.35">
      <c r="A990" s="24">
        <v>1</v>
      </c>
      <c r="B990" s="25" t="s">
        <v>661</v>
      </c>
      <c r="C990" s="25" t="s">
        <v>662</v>
      </c>
      <c r="D990" s="24" t="s">
        <v>1554</v>
      </c>
    </row>
    <row r="991" spans="1:4" x14ac:dyDescent="0.35">
      <c r="A991" s="24">
        <v>2</v>
      </c>
      <c r="B991" s="25" t="s">
        <v>32</v>
      </c>
      <c r="C991" s="25" t="s">
        <v>662</v>
      </c>
      <c r="D991" s="24" t="s">
        <v>1554</v>
      </c>
    </row>
    <row r="992" spans="1:4" x14ac:dyDescent="0.35">
      <c r="A992" s="24">
        <v>3</v>
      </c>
      <c r="B992" s="25" t="s">
        <v>33</v>
      </c>
      <c r="C992" s="25" t="s">
        <v>662</v>
      </c>
      <c r="D992" s="24" t="s">
        <v>1506</v>
      </c>
    </row>
    <row r="993" spans="1:4" x14ac:dyDescent="0.35">
      <c r="A993" s="24">
        <v>4</v>
      </c>
      <c r="B993" s="25" t="s">
        <v>663</v>
      </c>
      <c r="C993" s="25" t="s">
        <v>664</v>
      </c>
      <c r="D993" s="24" t="s">
        <v>28</v>
      </c>
    </row>
    <row r="994" spans="1:4" x14ac:dyDescent="0.35">
      <c r="A994" s="24">
        <v>5</v>
      </c>
      <c r="B994" s="25" t="s">
        <v>665</v>
      </c>
      <c r="C994" s="25" t="s">
        <v>666</v>
      </c>
      <c r="D994" s="24" t="s">
        <v>28</v>
      </c>
    </row>
    <row r="995" spans="1:4" ht="33.6" x14ac:dyDescent="0.35">
      <c r="A995" s="24">
        <v>6</v>
      </c>
      <c r="B995" s="25" t="s">
        <v>667</v>
      </c>
      <c r="C995" s="25" t="s">
        <v>39</v>
      </c>
      <c r="D995" s="24" t="s">
        <v>28</v>
      </c>
    </row>
    <row r="996" spans="1:4" ht="33.6" x14ac:dyDescent="0.35">
      <c r="A996" s="24">
        <v>7</v>
      </c>
      <c r="B996" s="25" t="s">
        <v>668</v>
      </c>
      <c r="C996" s="25" t="s">
        <v>669</v>
      </c>
      <c r="D996" s="24" t="s">
        <v>28</v>
      </c>
    </row>
    <row r="997" spans="1:4" ht="33.6" x14ac:dyDescent="0.35">
      <c r="A997" s="24">
        <v>8</v>
      </c>
      <c r="B997" s="25" t="s">
        <v>34</v>
      </c>
      <c r="C997" s="25" t="s">
        <v>41</v>
      </c>
      <c r="D997" s="24" t="s">
        <v>28</v>
      </c>
    </row>
    <row r="998" spans="1:4" x14ac:dyDescent="0.35">
      <c r="A998" s="24">
        <v>9</v>
      </c>
      <c r="B998" s="25" t="s">
        <v>670</v>
      </c>
      <c r="C998" s="25" t="s">
        <v>671</v>
      </c>
      <c r="D998" s="24" t="s">
        <v>28</v>
      </c>
    </row>
    <row r="999" spans="1:4" ht="33.6" x14ac:dyDescent="0.35">
      <c r="A999" s="24">
        <v>10</v>
      </c>
      <c r="B999" s="25" t="s">
        <v>672</v>
      </c>
      <c r="C999" s="25" t="s">
        <v>849</v>
      </c>
      <c r="D999" s="24" t="s">
        <v>28</v>
      </c>
    </row>
    <row r="1000" spans="1:4" ht="50.4" x14ac:dyDescent="0.35">
      <c r="A1000" s="24">
        <v>11</v>
      </c>
      <c r="B1000" s="25" t="s">
        <v>674</v>
      </c>
      <c r="C1000" s="25" t="s">
        <v>708</v>
      </c>
      <c r="D1000" s="24" t="s">
        <v>1524</v>
      </c>
    </row>
    <row r="1001" spans="1:4" x14ac:dyDescent="0.35">
      <c r="A1001" s="26" t="s">
        <v>6</v>
      </c>
      <c r="B1001" s="132" t="s">
        <v>676</v>
      </c>
      <c r="C1001" s="132"/>
      <c r="D1001" s="24"/>
    </row>
    <row r="1002" spans="1:4" ht="100.8" x14ac:dyDescent="0.35">
      <c r="A1002" s="129">
        <v>1</v>
      </c>
      <c r="B1002" s="128" t="s">
        <v>5</v>
      </c>
      <c r="C1002" s="30" t="s">
        <v>1352</v>
      </c>
      <c r="D1002" s="24" t="s">
        <v>28</v>
      </c>
    </row>
    <row r="1003" spans="1:4" ht="50.4" x14ac:dyDescent="0.35">
      <c r="A1003" s="129"/>
      <c r="B1003" s="128"/>
      <c r="C1003" s="30" t="s">
        <v>1353</v>
      </c>
      <c r="D1003" s="24" t="s">
        <v>28</v>
      </c>
    </row>
    <row r="1004" spans="1:4" x14ac:dyDescent="0.35">
      <c r="A1004" s="129">
        <v>2</v>
      </c>
      <c r="B1004" s="128" t="s">
        <v>995</v>
      </c>
      <c r="C1004" s="30" t="s">
        <v>1354</v>
      </c>
      <c r="D1004" s="24" t="s">
        <v>28</v>
      </c>
    </row>
    <row r="1005" spans="1:4" ht="33.6" x14ac:dyDescent="0.35">
      <c r="A1005" s="129"/>
      <c r="B1005" s="128"/>
      <c r="C1005" s="30" t="s">
        <v>1355</v>
      </c>
      <c r="D1005" s="24" t="s">
        <v>28</v>
      </c>
    </row>
    <row r="1006" spans="1:4" ht="33.6" x14ac:dyDescent="0.35">
      <c r="A1006" s="129"/>
      <c r="B1006" s="128"/>
      <c r="C1006" s="30" t="s">
        <v>1356</v>
      </c>
      <c r="D1006" s="24" t="s">
        <v>28</v>
      </c>
    </row>
    <row r="1007" spans="1:4" ht="33.6" x14ac:dyDescent="0.35">
      <c r="A1007" s="129"/>
      <c r="B1007" s="128"/>
      <c r="C1007" s="30" t="s">
        <v>1357</v>
      </c>
      <c r="D1007" s="24" t="s">
        <v>28</v>
      </c>
    </row>
    <row r="1008" spans="1:4" x14ac:dyDescent="0.35">
      <c r="A1008" s="129"/>
      <c r="B1008" s="128"/>
      <c r="C1008" s="30" t="s">
        <v>1079</v>
      </c>
      <c r="D1008" s="24" t="s">
        <v>28</v>
      </c>
    </row>
    <row r="1009" spans="1:4" x14ac:dyDescent="0.35">
      <c r="A1009" s="129"/>
      <c r="B1009" s="128"/>
      <c r="C1009" s="30" t="s">
        <v>1358</v>
      </c>
      <c r="D1009" s="24" t="s">
        <v>28</v>
      </c>
    </row>
    <row r="1010" spans="1:4" x14ac:dyDescent="0.35">
      <c r="A1010" s="129"/>
      <c r="B1010" s="128"/>
      <c r="C1010" s="30" t="s">
        <v>1359</v>
      </c>
      <c r="D1010" s="24" t="s">
        <v>28</v>
      </c>
    </row>
    <row r="1011" spans="1:4" ht="33.6" x14ac:dyDescent="0.35">
      <c r="A1011" s="129"/>
      <c r="B1011" s="128"/>
      <c r="C1011" s="30" t="s">
        <v>1360</v>
      </c>
      <c r="D1011" s="24" t="s">
        <v>28</v>
      </c>
    </row>
    <row r="1012" spans="1:4" ht="33.6" x14ac:dyDescent="0.35">
      <c r="A1012" s="129"/>
      <c r="B1012" s="128"/>
      <c r="C1012" s="30" t="s">
        <v>1361</v>
      </c>
      <c r="D1012" s="24" t="s">
        <v>28</v>
      </c>
    </row>
    <row r="1013" spans="1:4" x14ac:dyDescent="0.35">
      <c r="A1013" s="129"/>
      <c r="B1013" s="128"/>
      <c r="C1013" s="30" t="s">
        <v>1362</v>
      </c>
      <c r="D1013" s="24" t="s">
        <v>28</v>
      </c>
    </row>
    <row r="1014" spans="1:4" x14ac:dyDescent="0.35">
      <c r="A1014" s="129"/>
      <c r="B1014" s="128"/>
      <c r="C1014" s="30" t="s">
        <v>1363</v>
      </c>
      <c r="D1014" s="24" t="s">
        <v>28</v>
      </c>
    </row>
    <row r="1015" spans="1:4" x14ac:dyDescent="0.35">
      <c r="A1015" s="24">
        <v>3</v>
      </c>
      <c r="B1015" s="25" t="s">
        <v>697</v>
      </c>
      <c r="C1015" s="25" t="s">
        <v>1075</v>
      </c>
      <c r="D1015" s="24" t="s">
        <v>28</v>
      </c>
    </row>
    <row r="1016" spans="1:4" x14ac:dyDescent="0.35">
      <c r="A1016" s="24" t="s">
        <v>129</v>
      </c>
      <c r="B1016" s="25" t="s">
        <v>876</v>
      </c>
      <c r="C1016" s="25" t="s">
        <v>1080</v>
      </c>
      <c r="D1016" s="24" t="s">
        <v>28</v>
      </c>
    </row>
    <row r="1017" spans="1:4" x14ac:dyDescent="0.35">
      <c r="A1017" s="70" t="s">
        <v>1081</v>
      </c>
      <c r="B1017" s="138" t="s">
        <v>1082</v>
      </c>
      <c r="C1017" s="138"/>
      <c r="D1017" s="24"/>
    </row>
    <row r="1018" spans="1:4" x14ac:dyDescent="0.35">
      <c r="A1018" s="26" t="s">
        <v>4</v>
      </c>
      <c r="B1018" s="132" t="s">
        <v>363</v>
      </c>
      <c r="C1018" s="132"/>
      <c r="D1018" s="24"/>
    </row>
    <row r="1019" spans="1:4" x14ac:dyDescent="0.35">
      <c r="A1019" s="24">
        <v>1</v>
      </c>
      <c r="B1019" s="25" t="s">
        <v>1083</v>
      </c>
      <c r="C1019" s="25" t="s">
        <v>662</v>
      </c>
      <c r="D1019" s="24" t="s">
        <v>1554</v>
      </c>
    </row>
    <row r="1020" spans="1:4" x14ac:dyDescent="0.35">
      <c r="A1020" s="24">
        <v>2</v>
      </c>
      <c r="B1020" s="25" t="s">
        <v>32</v>
      </c>
      <c r="C1020" s="25" t="s">
        <v>662</v>
      </c>
      <c r="D1020" s="24" t="s">
        <v>1554</v>
      </c>
    </row>
    <row r="1021" spans="1:4" x14ac:dyDescent="0.35">
      <c r="A1021" s="24">
        <v>3</v>
      </c>
      <c r="B1021" s="25" t="s">
        <v>33</v>
      </c>
      <c r="C1021" s="25" t="s">
        <v>662</v>
      </c>
      <c r="D1021" s="24" t="s">
        <v>1506</v>
      </c>
    </row>
    <row r="1022" spans="1:4" x14ac:dyDescent="0.35">
      <c r="A1022" s="24">
        <v>4</v>
      </c>
      <c r="B1022" s="25" t="s">
        <v>663</v>
      </c>
      <c r="C1022" s="25" t="s">
        <v>664</v>
      </c>
      <c r="D1022" s="24" t="s">
        <v>28</v>
      </c>
    </row>
    <row r="1023" spans="1:4" x14ac:dyDescent="0.35">
      <c r="A1023" s="24">
        <v>5</v>
      </c>
      <c r="B1023" s="25" t="s">
        <v>665</v>
      </c>
      <c r="C1023" s="25" t="s">
        <v>666</v>
      </c>
      <c r="D1023" s="24" t="s">
        <v>28</v>
      </c>
    </row>
    <row r="1024" spans="1:4" ht="33.6" x14ac:dyDescent="0.35">
      <c r="A1024" s="24">
        <v>6</v>
      </c>
      <c r="B1024" s="25" t="s">
        <v>667</v>
      </c>
      <c r="C1024" s="25" t="s">
        <v>39</v>
      </c>
      <c r="D1024" s="24" t="s">
        <v>28</v>
      </c>
    </row>
    <row r="1025" spans="1:4" ht="33.6" x14ac:dyDescent="0.35">
      <c r="A1025" s="24">
        <v>7</v>
      </c>
      <c r="B1025" s="25" t="s">
        <v>668</v>
      </c>
      <c r="C1025" s="25" t="s">
        <v>669</v>
      </c>
      <c r="D1025" s="24" t="s">
        <v>28</v>
      </c>
    </row>
    <row r="1026" spans="1:4" ht="33.6" x14ac:dyDescent="0.35">
      <c r="A1026" s="24">
        <v>8</v>
      </c>
      <c r="B1026" s="25" t="s">
        <v>34</v>
      </c>
      <c r="C1026" s="25" t="s">
        <v>41</v>
      </c>
      <c r="D1026" s="24" t="s">
        <v>28</v>
      </c>
    </row>
    <row r="1027" spans="1:4" x14ac:dyDescent="0.35">
      <c r="A1027" s="24">
        <v>9</v>
      </c>
      <c r="B1027" s="25" t="s">
        <v>670</v>
      </c>
      <c r="C1027" s="25" t="s">
        <v>671</v>
      </c>
      <c r="D1027" s="24" t="s">
        <v>28</v>
      </c>
    </row>
    <row r="1028" spans="1:4" ht="33.6" x14ac:dyDescent="0.35">
      <c r="A1028" s="24">
        <v>10</v>
      </c>
      <c r="B1028" s="25" t="s">
        <v>672</v>
      </c>
      <c r="C1028" s="25" t="s">
        <v>849</v>
      </c>
      <c r="D1028" s="24" t="s">
        <v>28</v>
      </c>
    </row>
    <row r="1029" spans="1:4" ht="50.4" x14ac:dyDescent="0.35">
      <c r="A1029" s="24">
        <v>11</v>
      </c>
      <c r="B1029" s="25" t="s">
        <v>674</v>
      </c>
      <c r="C1029" s="25" t="s">
        <v>708</v>
      </c>
      <c r="D1029" s="24" t="s">
        <v>28</v>
      </c>
    </row>
    <row r="1030" spans="1:4" x14ac:dyDescent="0.35">
      <c r="A1030" s="26" t="s">
        <v>6</v>
      </c>
      <c r="B1030" s="132" t="s">
        <v>676</v>
      </c>
      <c r="C1030" s="132"/>
      <c r="D1030" s="24"/>
    </row>
    <row r="1031" spans="1:4" ht="50.4" x14ac:dyDescent="0.35">
      <c r="A1031" s="134">
        <v>1</v>
      </c>
      <c r="B1031" s="136" t="s">
        <v>5</v>
      </c>
      <c r="C1031" s="30" t="s">
        <v>1341</v>
      </c>
      <c r="D1031" s="24" t="s">
        <v>28</v>
      </c>
    </row>
    <row r="1032" spans="1:4" ht="50.4" x14ac:dyDescent="0.35">
      <c r="A1032" s="135"/>
      <c r="B1032" s="137"/>
      <c r="C1032" s="30" t="s">
        <v>1342</v>
      </c>
      <c r="D1032" s="24" t="s">
        <v>28</v>
      </c>
    </row>
    <row r="1033" spans="1:4" x14ac:dyDescent="0.35">
      <c r="A1033" s="134">
        <v>2</v>
      </c>
      <c r="B1033" s="136" t="s">
        <v>995</v>
      </c>
      <c r="C1033" s="25" t="s">
        <v>1084</v>
      </c>
      <c r="D1033" s="24" t="s">
        <v>28</v>
      </c>
    </row>
    <row r="1034" spans="1:4" x14ac:dyDescent="0.35">
      <c r="A1034" s="144"/>
      <c r="B1034" s="143"/>
      <c r="C1034" s="30" t="s">
        <v>1364</v>
      </c>
      <c r="D1034" s="24" t="s">
        <v>28</v>
      </c>
    </row>
    <row r="1035" spans="1:4" x14ac:dyDescent="0.35">
      <c r="A1035" s="144"/>
      <c r="B1035" s="143"/>
      <c r="C1035" s="30" t="s">
        <v>1365</v>
      </c>
      <c r="D1035" s="24" t="s">
        <v>28</v>
      </c>
    </row>
    <row r="1036" spans="1:4" ht="33.6" x14ac:dyDescent="0.35">
      <c r="A1036" s="144"/>
      <c r="B1036" s="143"/>
      <c r="C1036" s="30" t="s">
        <v>1366</v>
      </c>
      <c r="D1036" s="24" t="s">
        <v>28</v>
      </c>
    </row>
    <row r="1037" spans="1:4" x14ac:dyDescent="0.35">
      <c r="A1037" s="144"/>
      <c r="B1037" s="143"/>
      <c r="C1037" s="30" t="s">
        <v>1367</v>
      </c>
      <c r="D1037" s="24" t="s">
        <v>28</v>
      </c>
    </row>
    <row r="1038" spans="1:4" x14ac:dyDescent="0.35">
      <c r="A1038" s="144"/>
      <c r="B1038" s="143"/>
      <c r="C1038" s="30" t="s">
        <v>1368</v>
      </c>
      <c r="D1038" s="24" t="s">
        <v>28</v>
      </c>
    </row>
    <row r="1039" spans="1:4" ht="33.6" x14ac:dyDescent="0.35">
      <c r="A1039" s="144"/>
      <c r="B1039" s="143"/>
      <c r="C1039" s="30" t="s">
        <v>1348</v>
      </c>
      <c r="D1039" s="24" t="s">
        <v>28</v>
      </c>
    </row>
    <row r="1040" spans="1:4" ht="33.6" x14ac:dyDescent="0.35">
      <c r="A1040" s="144"/>
      <c r="B1040" s="143"/>
      <c r="C1040" s="30" t="s">
        <v>1349</v>
      </c>
      <c r="D1040" s="24" t="s">
        <v>28</v>
      </c>
    </row>
    <row r="1041" spans="1:4" ht="33.6" x14ac:dyDescent="0.35">
      <c r="A1041" s="144"/>
      <c r="B1041" s="143"/>
      <c r="C1041" s="30" t="s">
        <v>1369</v>
      </c>
      <c r="D1041" s="24" t="s">
        <v>28</v>
      </c>
    </row>
    <row r="1042" spans="1:4" x14ac:dyDescent="0.35">
      <c r="A1042" s="135"/>
      <c r="B1042" s="137"/>
      <c r="C1042" s="30" t="s">
        <v>1370</v>
      </c>
      <c r="D1042" s="24" t="s">
        <v>28</v>
      </c>
    </row>
    <row r="1043" spans="1:4" x14ac:dyDescent="0.35">
      <c r="A1043" s="24">
        <v>3</v>
      </c>
      <c r="B1043" s="25" t="s">
        <v>49</v>
      </c>
      <c r="C1043" s="25" t="s">
        <v>1085</v>
      </c>
      <c r="D1043" s="24" t="s">
        <v>28</v>
      </c>
    </row>
    <row r="1044" spans="1:4" ht="33.6" x14ac:dyDescent="0.35">
      <c r="A1044" s="24">
        <v>4</v>
      </c>
      <c r="B1044" s="25" t="s">
        <v>876</v>
      </c>
      <c r="C1044" s="25" t="s">
        <v>1086</v>
      </c>
      <c r="D1044" s="24" t="s">
        <v>28</v>
      </c>
    </row>
    <row r="1045" spans="1:4" x14ac:dyDescent="0.35">
      <c r="A1045" s="70" t="s">
        <v>1087</v>
      </c>
      <c r="B1045" s="138" t="s">
        <v>1088</v>
      </c>
      <c r="C1045" s="138"/>
      <c r="D1045" s="26"/>
    </row>
    <row r="1046" spans="1:4" x14ac:dyDescent="0.35">
      <c r="A1046" s="26" t="s">
        <v>4</v>
      </c>
      <c r="B1046" s="132" t="s">
        <v>363</v>
      </c>
      <c r="C1046" s="132"/>
      <c r="D1046" s="26"/>
    </row>
    <row r="1047" spans="1:4" x14ac:dyDescent="0.35">
      <c r="A1047" s="24">
        <v>1</v>
      </c>
      <c r="B1047" s="25" t="s">
        <v>661</v>
      </c>
      <c r="C1047" s="25" t="s">
        <v>662</v>
      </c>
      <c r="D1047" s="24" t="s">
        <v>1546</v>
      </c>
    </row>
    <row r="1048" spans="1:4" x14ac:dyDescent="0.35">
      <c r="A1048" s="24">
        <v>2</v>
      </c>
      <c r="B1048" s="25" t="s">
        <v>32</v>
      </c>
      <c r="C1048" s="25" t="s">
        <v>662</v>
      </c>
      <c r="D1048" s="24" t="s">
        <v>1463</v>
      </c>
    </row>
    <row r="1049" spans="1:4" x14ac:dyDescent="0.35">
      <c r="A1049" s="24">
        <v>3</v>
      </c>
      <c r="B1049" s="25" t="s">
        <v>33</v>
      </c>
      <c r="C1049" s="25" t="s">
        <v>662</v>
      </c>
      <c r="D1049" s="24" t="s">
        <v>1506</v>
      </c>
    </row>
    <row r="1050" spans="1:4" x14ac:dyDescent="0.35">
      <c r="A1050" s="24">
        <v>4</v>
      </c>
      <c r="B1050" s="25" t="s">
        <v>663</v>
      </c>
      <c r="C1050" s="25" t="s">
        <v>664</v>
      </c>
      <c r="D1050" s="24" t="s">
        <v>28</v>
      </c>
    </row>
    <row r="1051" spans="1:4" x14ac:dyDescent="0.35">
      <c r="A1051" s="24">
        <v>5</v>
      </c>
      <c r="B1051" s="25" t="s">
        <v>665</v>
      </c>
      <c r="C1051" s="84" t="s">
        <v>666</v>
      </c>
      <c r="D1051" s="24" t="s">
        <v>28</v>
      </c>
    </row>
    <row r="1052" spans="1:4" ht="33.6" x14ac:dyDescent="0.35">
      <c r="A1052" s="24">
        <v>6</v>
      </c>
      <c r="B1052" s="25" t="s">
        <v>667</v>
      </c>
      <c r="C1052" s="25" t="s">
        <v>39</v>
      </c>
      <c r="D1052" s="24" t="s">
        <v>28</v>
      </c>
    </row>
    <row r="1053" spans="1:4" ht="33.6" x14ac:dyDescent="0.35">
      <c r="A1053" s="24">
        <v>7</v>
      </c>
      <c r="B1053" s="25" t="s">
        <v>668</v>
      </c>
      <c r="C1053" s="25" t="s">
        <v>669</v>
      </c>
      <c r="D1053" s="24" t="s">
        <v>28</v>
      </c>
    </row>
    <row r="1054" spans="1:4" ht="33.6" x14ac:dyDescent="0.35">
      <c r="A1054" s="24">
        <v>8</v>
      </c>
      <c r="B1054" s="25" t="s">
        <v>34</v>
      </c>
      <c r="C1054" s="25" t="s">
        <v>41</v>
      </c>
      <c r="D1054" s="24" t="s">
        <v>28</v>
      </c>
    </row>
    <row r="1055" spans="1:4" x14ac:dyDescent="0.35">
      <c r="A1055" s="24">
        <v>9</v>
      </c>
      <c r="B1055" s="25" t="s">
        <v>670</v>
      </c>
      <c r="C1055" s="25" t="s">
        <v>671</v>
      </c>
      <c r="D1055" s="24" t="s">
        <v>28</v>
      </c>
    </row>
    <row r="1056" spans="1:4" ht="33.6" x14ac:dyDescent="0.35">
      <c r="A1056" s="24">
        <v>10</v>
      </c>
      <c r="B1056" s="25" t="s">
        <v>672</v>
      </c>
      <c r="C1056" s="25" t="s">
        <v>849</v>
      </c>
      <c r="D1056" s="24" t="s">
        <v>28</v>
      </c>
    </row>
    <row r="1057" spans="1:4" ht="50.4" x14ac:dyDescent="0.35">
      <c r="A1057" s="24">
        <v>11</v>
      </c>
      <c r="B1057" s="25" t="s">
        <v>674</v>
      </c>
      <c r="C1057" s="25" t="s">
        <v>708</v>
      </c>
      <c r="D1057" s="24" t="s">
        <v>28</v>
      </c>
    </row>
    <row r="1058" spans="1:4" x14ac:dyDescent="0.35">
      <c r="A1058" s="26" t="s">
        <v>6</v>
      </c>
      <c r="B1058" s="132" t="s">
        <v>676</v>
      </c>
      <c r="C1058" s="132"/>
      <c r="D1058" s="24"/>
    </row>
    <row r="1059" spans="1:4" ht="151.19999999999999" x14ac:dyDescent="0.35">
      <c r="A1059" s="129">
        <v>1</v>
      </c>
      <c r="B1059" s="128" t="s">
        <v>5</v>
      </c>
      <c r="C1059" s="30" t="s">
        <v>1097</v>
      </c>
      <c r="D1059" s="24" t="s">
        <v>28</v>
      </c>
    </row>
    <row r="1060" spans="1:4" ht="33.6" x14ac:dyDescent="0.35">
      <c r="A1060" s="129"/>
      <c r="B1060" s="128"/>
      <c r="C1060" s="30" t="s">
        <v>1098</v>
      </c>
      <c r="D1060" s="24" t="s">
        <v>28</v>
      </c>
    </row>
    <row r="1061" spans="1:4" ht="33.6" x14ac:dyDescent="0.35">
      <c r="A1061" s="129"/>
      <c r="B1061" s="128"/>
      <c r="C1061" s="30" t="s">
        <v>1099</v>
      </c>
      <c r="D1061" s="24" t="s">
        <v>28</v>
      </c>
    </row>
    <row r="1062" spans="1:4" ht="50.4" x14ac:dyDescent="0.35">
      <c r="A1062" s="129"/>
      <c r="B1062" s="128"/>
      <c r="C1062" s="30" t="s">
        <v>1100</v>
      </c>
      <c r="D1062" s="24" t="s">
        <v>28</v>
      </c>
    </row>
    <row r="1063" spans="1:4" ht="33.6" x14ac:dyDescent="0.35">
      <c r="A1063" s="129">
        <v>2</v>
      </c>
      <c r="B1063" s="128" t="s">
        <v>990</v>
      </c>
      <c r="C1063" s="30" t="s">
        <v>1101</v>
      </c>
      <c r="D1063" s="24" t="s">
        <v>28</v>
      </c>
    </row>
    <row r="1064" spans="1:4" x14ac:dyDescent="0.35">
      <c r="A1064" s="129"/>
      <c r="B1064" s="128"/>
      <c r="C1064" s="30" t="s">
        <v>1102</v>
      </c>
      <c r="D1064" s="24" t="s">
        <v>28</v>
      </c>
    </row>
    <row r="1065" spans="1:4" ht="50.4" x14ac:dyDescent="0.35">
      <c r="A1065" s="129"/>
      <c r="B1065" s="128"/>
      <c r="C1065" s="30" t="s">
        <v>1103</v>
      </c>
      <c r="D1065" s="24" t="s">
        <v>28</v>
      </c>
    </row>
    <row r="1066" spans="1:4" x14ac:dyDescent="0.35">
      <c r="A1066" s="129">
        <v>3</v>
      </c>
      <c r="B1066" s="128" t="s">
        <v>991</v>
      </c>
      <c r="C1066" s="30" t="s">
        <v>1104</v>
      </c>
      <c r="D1066" s="24" t="s">
        <v>28</v>
      </c>
    </row>
    <row r="1067" spans="1:4" ht="33.6" x14ac:dyDescent="0.35">
      <c r="A1067" s="129"/>
      <c r="B1067" s="128"/>
      <c r="C1067" s="30" t="s">
        <v>1105</v>
      </c>
      <c r="D1067" s="24" t="s">
        <v>28</v>
      </c>
    </row>
    <row r="1068" spans="1:4" x14ac:dyDescent="0.35">
      <c r="A1068" s="129"/>
      <c r="B1068" s="128"/>
      <c r="C1068" s="30" t="s">
        <v>1106</v>
      </c>
      <c r="D1068" s="24" t="s">
        <v>28</v>
      </c>
    </row>
    <row r="1069" spans="1:4" x14ac:dyDescent="0.35">
      <c r="A1069" s="129"/>
      <c r="B1069" s="128"/>
      <c r="C1069" s="30" t="s">
        <v>1107</v>
      </c>
      <c r="D1069" s="24" t="s">
        <v>28</v>
      </c>
    </row>
    <row r="1070" spans="1:4" x14ac:dyDescent="0.35">
      <c r="A1070" s="24">
        <v>4</v>
      </c>
      <c r="B1070" s="25" t="s">
        <v>876</v>
      </c>
      <c r="C1070" s="25" t="s">
        <v>992</v>
      </c>
      <c r="D1070" s="24" t="s">
        <v>28</v>
      </c>
    </row>
  </sheetData>
  <mergeCells count="191">
    <mergeCell ref="B437:C437"/>
    <mergeCell ref="A439:A443"/>
    <mergeCell ref="B439:B443"/>
    <mergeCell ref="B397:C397"/>
    <mergeCell ref="B404:C404"/>
    <mergeCell ref="B405:C405"/>
    <mergeCell ref="B417:C417"/>
    <mergeCell ref="A314:A315"/>
    <mergeCell ref="B314:B315"/>
    <mergeCell ref="B317:C317"/>
    <mergeCell ref="B220:C220"/>
    <mergeCell ref="B240:C240"/>
    <mergeCell ref="B249:C249"/>
    <mergeCell ref="B250:C250"/>
    <mergeCell ref="B262:C262"/>
    <mergeCell ref="A291:A292"/>
    <mergeCell ref="B145:C145"/>
    <mergeCell ref="B284:C284"/>
    <mergeCell ref="B291:B292"/>
    <mergeCell ref="B271:C271"/>
    <mergeCell ref="B272:C272"/>
    <mergeCell ref="B227:C227"/>
    <mergeCell ref="B228:C228"/>
    <mergeCell ref="B200:C200"/>
    <mergeCell ref="B207:C207"/>
    <mergeCell ref="B208:C208"/>
    <mergeCell ref="B188:C188"/>
    <mergeCell ref="B124:C124"/>
    <mergeCell ref="B125:C125"/>
    <mergeCell ref="B137:C137"/>
    <mergeCell ref="B5:C5"/>
    <mergeCell ref="B105:C105"/>
    <mergeCell ref="B117:C117"/>
    <mergeCell ref="B84:C84"/>
    <mergeCell ref="B85:C85"/>
    <mergeCell ref="B97:C97"/>
    <mergeCell ref="B104:C104"/>
    <mergeCell ref="B6:C6"/>
    <mergeCell ref="B55:C55"/>
    <mergeCell ref="A486:A489"/>
    <mergeCell ref="B486:B489"/>
    <mergeCell ref="A490:A493"/>
    <mergeCell ref="B490:B493"/>
    <mergeCell ref="A494:A497"/>
    <mergeCell ref="B494:B497"/>
    <mergeCell ref="A499:A501"/>
    <mergeCell ref="B499:B501"/>
    <mergeCell ref="A502:A504"/>
    <mergeCell ref="B502:B504"/>
    <mergeCell ref="B472:C472"/>
    <mergeCell ref="B473:C473"/>
    <mergeCell ref="B485:C485"/>
    <mergeCell ref="B179:C179"/>
    <mergeCell ref="B187:C187"/>
    <mergeCell ref="B166:C166"/>
    <mergeCell ref="B167:C167"/>
    <mergeCell ref="B146:C146"/>
    <mergeCell ref="B158:C158"/>
    <mergeCell ref="B294:C294"/>
    <mergeCell ref="B295:C295"/>
    <mergeCell ref="B307:C307"/>
    <mergeCell ref="B365:C365"/>
    <mergeCell ref="B377:C377"/>
    <mergeCell ref="B384:C384"/>
    <mergeCell ref="B385:C385"/>
    <mergeCell ref="B318:C318"/>
    <mergeCell ref="B330:C330"/>
    <mergeCell ref="B340:C340"/>
    <mergeCell ref="B341:C341"/>
    <mergeCell ref="B353:C353"/>
    <mergeCell ref="B364:C364"/>
    <mergeCell ref="B424:C424"/>
    <mergeCell ref="B425:C425"/>
    <mergeCell ref="B446:C446"/>
    <mergeCell ref="B447:C447"/>
    <mergeCell ref="B459:C459"/>
    <mergeCell ref="A460:A463"/>
    <mergeCell ref="B460:B463"/>
    <mergeCell ref="A464:A466"/>
    <mergeCell ref="B464:B466"/>
    <mergeCell ref="A467:A470"/>
    <mergeCell ref="B467:B470"/>
    <mergeCell ref="A3:A4"/>
    <mergeCell ref="B3:C3"/>
    <mergeCell ref="D3:D4"/>
    <mergeCell ref="B64:C64"/>
    <mergeCell ref="B18:C18"/>
    <mergeCell ref="B65:C65"/>
    <mergeCell ref="B77:C77"/>
    <mergeCell ref="A82:A83"/>
    <mergeCell ref="A22:A24"/>
    <mergeCell ref="B22:B24"/>
    <mergeCell ref="B25:B30"/>
    <mergeCell ref="A25:A30"/>
    <mergeCell ref="B31:B38"/>
    <mergeCell ref="A31:A38"/>
    <mergeCell ref="B82:B83"/>
    <mergeCell ref="B42:C42"/>
    <mergeCell ref="B43:C43"/>
    <mergeCell ref="A61:A62"/>
    <mergeCell ref="B61:B62"/>
    <mergeCell ref="B507:C507"/>
    <mergeCell ref="D507:D508"/>
    <mergeCell ref="B509:C509"/>
    <mergeCell ref="B510:C510"/>
    <mergeCell ref="B522:C522"/>
    <mergeCell ref="A523:A603"/>
    <mergeCell ref="B523:B603"/>
    <mergeCell ref="B606:C606"/>
    <mergeCell ref="B607:C607"/>
    <mergeCell ref="A507:A508"/>
    <mergeCell ref="B619:C619"/>
    <mergeCell ref="B620:B695"/>
    <mergeCell ref="A620:A695"/>
    <mergeCell ref="B697:C697"/>
    <mergeCell ref="B698:C698"/>
    <mergeCell ref="B710:C710"/>
    <mergeCell ref="B711:B742"/>
    <mergeCell ref="A711:A742"/>
    <mergeCell ref="B744:C744"/>
    <mergeCell ref="B745:C745"/>
    <mergeCell ref="B757:C757"/>
    <mergeCell ref="A758:A764"/>
    <mergeCell ref="B758:B764"/>
    <mergeCell ref="B766:C766"/>
    <mergeCell ref="B767:C767"/>
    <mergeCell ref="B779:C779"/>
    <mergeCell ref="A780:A790"/>
    <mergeCell ref="B780:B790"/>
    <mergeCell ref="B792:C792"/>
    <mergeCell ref="B793:C793"/>
    <mergeCell ref="B805:C805"/>
    <mergeCell ref="A806:A826"/>
    <mergeCell ref="B806:B826"/>
    <mergeCell ref="B828:C828"/>
    <mergeCell ref="B829:C829"/>
    <mergeCell ref="B841:C841"/>
    <mergeCell ref="A842:A850"/>
    <mergeCell ref="B842:B850"/>
    <mergeCell ref="B852:C852"/>
    <mergeCell ref="B853:C853"/>
    <mergeCell ref="B865:C865"/>
    <mergeCell ref="A868:A869"/>
    <mergeCell ref="B868:B869"/>
    <mergeCell ref="A871:A874"/>
    <mergeCell ref="B871:B874"/>
    <mergeCell ref="A877:A878"/>
    <mergeCell ref="B877:B878"/>
    <mergeCell ref="B884:C884"/>
    <mergeCell ref="B885:C885"/>
    <mergeCell ref="B897:C897"/>
    <mergeCell ref="A898:A908"/>
    <mergeCell ref="B898:B908"/>
    <mergeCell ref="A921:A922"/>
    <mergeCell ref="B921:C921"/>
    <mergeCell ref="D921:D922"/>
    <mergeCell ref="B923:C923"/>
    <mergeCell ref="B924:C924"/>
    <mergeCell ref="B936:C936"/>
    <mergeCell ref="B937:B959"/>
    <mergeCell ref="A937:A959"/>
    <mergeCell ref="B961:C961"/>
    <mergeCell ref="B962:C962"/>
    <mergeCell ref="B974:C974"/>
    <mergeCell ref="A975:A976"/>
    <mergeCell ref="B975:B976"/>
    <mergeCell ref="A977:A985"/>
    <mergeCell ref="B977:B985"/>
    <mergeCell ref="B988:C988"/>
    <mergeCell ref="B989:C989"/>
    <mergeCell ref="B1001:C1001"/>
    <mergeCell ref="B1002:B1003"/>
    <mergeCell ref="A1002:A1003"/>
    <mergeCell ref="B1004:B1014"/>
    <mergeCell ref="A1004:A1014"/>
    <mergeCell ref="B1058:C1058"/>
    <mergeCell ref="A1059:A1062"/>
    <mergeCell ref="B1059:B1062"/>
    <mergeCell ref="A1063:A1065"/>
    <mergeCell ref="B1063:B1065"/>
    <mergeCell ref="A1066:A1069"/>
    <mergeCell ref="B1066:B1069"/>
    <mergeCell ref="B1017:C1017"/>
    <mergeCell ref="B1018:C1018"/>
    <mergeCell ref="B1030:C1030"/>
    <mergeCell ref="A1031:A1032"/>
    <mergeCell ref="B1031:B1032"/>
    <mergeCell ref="B1033:B1042"/>
    <mergeCell ref="A1033:A1042"/>
    <mergeCell ref="B1045:C1045"/>
    <mergeCell ref="B1046:C1046"/>
  </mergeCells>
  <pageMargins left="0.70866141732283472" right="0.11811023622047245" top="0.55118110236220474" bottom="0.55118110236220474"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view="pageBreakPreview" zoomScaleNormal="100" zoomScaleSheetLayoutView="100" workbookViewId="0">
      <selection activeCell="C8" sqref="C8"/>
    </sheetView>
  </sheetViews>
  <sheetFormatPr defaultColWidth="25.109375" defaultRowHeight="17.399999999999999" x14ac:dyDescent="0.35"/>
  <cols>
    <col min="1" max="1" width="6.77734375" style="21" customWidth="1"/>
    <col min="2" max="2" width="29" style="40" customWidth="1"/>
    <col min="3" max="3" width="31.21875" style="29" customWidth="1"/>
    <col min="4" max="4" width="22.5546875" style="21" bestFit="1" customWidth="1"/>
    <col min="5" max="16384" width="25.109375" style="21"/>
  </cols>
  <sheetData>
    <row r="1" spans="1:4" s="23" customFormat="1" x14ac:dyDescent="0.35">
      <c r="A1" s="22" t="s">
        <v>17</v>
      </c>
      <c r="B1" s="39" t="s">
        <v>1371</v>
      </c>
      <c r="C1" s="28"/>
      <c r="D1" s="28"/>
    </row>
    <row r="2" spans="1:4" s="29" customFormat="1" x14ac:dyDescent="0.35">
      <c r="A2" s="50" t="s">
        <v>48</v>
      </c>
      <c r="B2" s="50" t="s">
        <v>12</v>
      </c>
      <c r="C2" s="50" t="s">
        <v>2</v>
      </c>
      <c r="D2" s="50" t="s">
        <v>3</v>
      </c>
    </row>
    <row r="3" spans="1:4" x14ac:dyDescent="0.35">
      <c r="A3" s="24">
        <v>1</v>
      </c>
      <c r="B3" s="25" t="s">
        <v>1</v>
      </c>
      <c r="C3" s="24" t="s">
        <v>7</v>
      </c>
      <c r="D3" s="94" t="s">
        <v>1495</v>
      </c>
    </row>
    <row r="4" spans="1:4" x14ac:dyDescent="0.35">
      <c r="A4" s="24">
        <v>2</v>
      </c>
      <c r="B4" s="25" t="s">
        <v>50</v>
      </c>
      <c r="C4" s="24" t="s">
        <v>7</v>
      </c>
      <c r="D4" s="94" t="s">
        <v>1496</v>
      </c>
    </row>
    <row r="5" spans="1:4" ht="33.6" x14ac:dyDescent="0.35">
      <c r="A5" s="24">
        <v>3</v>
      </c>
      <c r="B5" s="25" t="s">
        <v>1372</v>
      </c>
      <c r="C5" s="24" t="s">
        <v>1373</v>
      </c>
      <c r="D5" s="94" t="s">
        <v>28</v>
      </c>
    </row>
    <row r="6" spans="1:4" x14ac:dyDescent="0.35">
      <c r="A6" s="24">
        <v>4</v>
      </c>
      <c r="B6" s="25" t="s">
        <v>1374</v>
      </c>
      <c r="C6" s="24" t="s">
        <v>1375</v>
      </c>
      <c r="D6" s="94" t="s">
        <v>28</v>
      </c>
    </row>
    <row r="7" spans="1:4" ht="33.6" x14ac:dyDescent="0.35">
      <c r="A7" s="24">
        <v>5</v>
      </c>
      <c r="B7" s="25" t="s">
        <v>1376</v>
      </c>
      <c r="C7" s="24" t="s">
        <v>1377</v>
      </c>
      <c r="D7" s="94" t="s">
        <v>28</v>
      </c>
    </row>
    <row r="8" spans="1:4" ht="33.6" x14ac:dyDescent="0.35">
      <c r="A8" s="24">
        <v>6</v>
      </c>
      <c r="B8" s="25" t="s">
        <v>1378</v>
      </c>
      <c r="C8" s="24" t="s">
        <v>1379</v>
      </c>
      <c r="D8" s="94" t="s">
        <v>28</v>
      </c>
    </row>
    <row r="9" spans="1:4" ht="33.6" x14ac:dyDescent="0.35">
      <c r="A9" s="24">
        <v>7</v>
      </c>
      <c r="B9" s="25" t="s">
        <v>1380</v>
      </c>
      <c r="C9" s="24" t="s">
        <v>1381</v>
      </c>
      <c r="D9" s="94" t="s">
        <v>28</v>
      </c>
    </row>
  </sheetData>
  <pageMargins left="0.70866141732283472" right="0.11811023622047245" top="0.55118110236220474" bottom="0.55118110236220474"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
  <sheetViews>
    <sheetView view="pageBreakPreview" zoomScaleNormal="100" zoomScaleSheetLayoutView="100" workbookViewId="0">
      <selection activeCell="D3" sqref="D3:D5"/>
    </sheetView>
  </sheetViews>
  <sheetFormatPr defaultColWidth="25.109375" defaultRowHeight="17.399999999999999" x14ac:dyDescent="0.35"/>
  <cols>
    <col min="1" max="1" width="6.77734375" style="21" customWidth="1"/>
    <col min="2" max="2" width="29" style="40" customWidth="1"/>
    <col min="3" max="3" width="31.21875" style="29" customWidth="1"/>
    <col min="4" max="4" width="22.33203125" style="21" bestFit="1" customWidth="1"/>
    <col min="5" max="16384" width="25.109375" style="21"/>
  </cols>
  <sheetData>
    <row r="1" spans="1:4" s="23" customFormat="1" x14ac:dyDescent="0.35">
      <c r="A1" s="22" t="s">
        <v>18</v>
      </c>
      <c r="B1" s="39" t="s">
        <v>1382</v>
      </c>
      <c r="C1" s="28"/>
      <c r="D1" s="28"/>
    </row>
    <row r="2" spans="1:4" s="29" customFormat="1" x14ac:dyDescent="0.35">
      <c r="A2" s="37" t="s">
        <v>48</v>
      </c>
      <c r="B2" s="37" t="s">
        <v>12</v>
      </c>
      <c r="C2" s="37" t="s">
        <v>2</v>
      </c>
      <c r="D2" s="37" t="s">
        <v>3</v>
      </c>
    </row>
    <row r="3" spans="1:4" x14ac:dyDescent="0.35">
      <c r="A3" s="24">
        <v>1</v>
      </c>
      <c r="B3" s="25" t="s">
        <v>1</v>
      </c>
      <c r="C3" s="24" t="s">
        <v>7</v>
      </c>
      <c r="D3" s="94" t="s">
        <v>1493</v>
      </c>
    </row>
    <row r="4" spans="1:4" x14ac:dyDescent="0.35">
      <c r="A4" s="24">
        <v>2</v>
      </c>
      <c r="B4" s="25" t="s">
        <v>50</v>
      </c>
      <c r="C4" s="24" t="s">
        <v>7</v>
      </c>
      <c r="D4" s="94" t="s">
        <v>1494</v>
      </c>
    </row>
    <row r="5" spans="1:4" ht="103.2" x14ac:dyDescent="0.35">
      <c r="A5" s="24">
        <v>3</v>
      </c>
      <c r="B5" s="25" t="s">
        <v>1383</v>
      </c>
      <c r="C5" s="25" t="s">
        <v>1384</v>
      </c>
      <c r="D5" s="94" t="s">
        <v>28</v>
      </c>
    </row>
  </sheetData>
  <pageMargins left="0.70866141732283472" right="0.11811023622047245" top="0.55118110236220474" bottom="0.55118110236220474"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view="pageBreakPreview" zoomScaleNormal="100" zoomScaleSheetLayoutView="100" workbookViewId="0">
      <selection activeCell="D14" sqref="D14"/>
    </sheetView>
  </sheetViews>
  <sheetFormatPr defaultColWidth="9" defaultRowHeight="17.399999999999999" x14ac:dyDescent="0.35"/>
  <cols>
    <col min="1" max="1" width="4.77734375" style="21" customWidth="1"/>
    <col min="2" max="2" width="28.109375" style="21" customWidth="1"/>
    <col min="3" max="3" width="35.88671875" style="29" customWidth="1"/>
    <col min="4" max="4" width="25.6640625" style="21" customWidth="1"/>
    <col min="5" max="16384" width="9" style="21"/>
  </cols>
  <sheetData>
    <row r="1" spans="1:4" s="23" customFormat="1" x14ac:dyDescent="0.35">
      <c r="A1" s="22" t="s">
        <v>19</v>
      </c>
      <c r="B1" s="23" t="s">
        <v>64</v>
      </c>
      <c r="C1" s="28"/>
    </row>
    <row r="2" spans="1:4" x14ac:dyDescent="0.35">
      <c r="A2" s="43" t="s">
        <v>48</v>
      </c>
      <c r="B2" s="43" t="s">
        <v>12</v>
      </c>
      <c r="C2" s="43" t="s">
        <v>2</v>
      </c>
      <c r="D2" s="43" t="s">
        <v>3</v>
      </c>
    </row>
    <row r="3" spans="1:4" ht="36" x14ac:dyDescent="0.35">
      <c r="A3" s="41">
        <v>1</v>
      </c>
      <c r="B3" s="42" t="s">
        <v>1</v>
      </c>
      <c r="C3" s="41" t="s">
        <v>7</v>
      </c>
      <c r="D3" s="41" t="s">
        <v>1490</v>
      </c>
    </row>
    <row r="4" spans="1:4" ht="18" x14ac:dyDescent="0.35">
      <c r="A4" s="41">
        <v>2</v>
      </c>
      <c r="B4" s="42" t="s">
        <v>50</v>
      </c>
      <c r="C4" s="41" t="s">
        <v>7</v>
      </c>
      <c r="D4" s="41" t="s">
        <v>1491</v>
      </c>
    </row>
    <row r="5" spans="1:4" ht="18" x14ac:dyDescent="0.35">
      <c r="A5" s="41">
        <v>3</v>
      </c>
      <c r="B5" s="42" t="s">
        <v>53</v>
      </c>
      <c r="C5" s="41" t="s">
        <v>54</v>
      </c>
      <c r="D5" s="41" t="s">
        <v>1492</v>
      </c>
    </row>
    <row r="6" spans="1:4" ht="18" x14ac:dyDescent="0.35">
      <c r="A6" s="41">
        <v>4</v>
      </c>
      <c r="B6" s="42" t="s">
        <v>55</v>
      </c>
      <c r="C6" s="41" t="s">
        <v>56</v>
      </c>
      <c r="D6" s="41" t="s">
        <v>28</v>
      </c>
    </row>
    <row r="7" spans="1:4" ht="18" x14ac:dyDescent="0.35">
      <c r="A7" s="41">
        <v>5</v>
      </c>
      <c r="B7" s="42" t="s">
        <v>57</v>
      </c>
      <c r="C7" s="41" t="s">
        <v>58</v>
      </c>
      <c r="D7" s="41" t="s">
        <v>28</v>
      </c>
    </row>
    <row r="8" spans="1:4" ht="36" x14ac:dyDescent="0.35">
      <c r="A8" s="41">
        <v>6</v>
      </c>
      <c r="B8" s="42" t="s">
        <v>59</v>
      </c>
      <c r="C8" s="41" t="s">
        <v>60</v>
      </c>
      <c r="D8" s="41" t="s">
        <v>28</v>
      </c>
    </row>
  </sheetData>
  <pageMargins left="0.70866141732283472" right="0.11811023622047245" top="0.55118110236220474" bottom="0.55118110236220474"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view="pageBreakPreview" zoomScaleNormal="100" zoomScaleSheetLayoutView="100" workbookViewId="0">
      <selection activeCell="D3" sqref="D3:D9"/>
    </sheetView>
  </sheetViews>
  <sheetFormatPr defaultColWidth="9" defaultRowHeight="17.399999999999999" x14ac:dyDescent="0.35"/>
  <cols>
    <col min="1" max="1" width="4.77734375" style="21" customWidth="1"/>
    <col min="2" max="2" width="28.109375" style="21" customWidth="1"/>
    <col min="3" max="3" width="35.88671875" style="29" customWidth="1"/>
    <col min="4" max="4" width="25.88671875" style="21" customWidth="1"/>
    <col min="5" max="16384" width="9" style="21"/>
  </cols>
  <sheetData>
    <row r="1" spans="1:4" s="23" customFormat="1" x14ac:dyDescent="0.35">
      <c r="A1" s="22" t="s">
        <v>20</v>
      </c>
      <c r="B1" s="23" t="s">
        <v>1393</v>
      </c>
      <c r="C1" s="28"/>
    </row>
    <row r="2" spans="1:4" x14ac:dyDescent="0.35">
      <c r="A2" s="26" t="s">
        <v>48</v>
      </c>
      <c r="B2" s="26" t="s">
        <v>12</v>
      </c>
      <c r="C2" s="26" t="s">
        <v>2</v>
      </c>
      <c r="D2" s="26" t="s">
        <v>3</v>
      </c>
    </row>
    <row r="3" spans="1:4" ht="33.6" x14ac:dyDescent="0.35">
      <c r="A3" s="24">
        <v>1</v>
      </c>
      <c r="B3" s="25" t="s">
        <v>1</v>
      </c>
      <c r="C3" s="24" t="s">
        <v>7</v>
      </c>
      <c r="D3" s="94" t="s">
        <v>1488</v>
      </c>
    </row>
    <row r="4" spans="1:4" x14ac:dyDescent="0.35">
      <c r="A4" s="24">
        <v>2</v>
      </c>
      <c r="B4" s="25" t="s">
        <v>50</v>
      </c>
      <c r="C4" s="24" t="s">
        <v>7</v>
      </c>
      <c r="D4" s="94" t="s">
        <v>1489</v>
      </c>
    </row>
    <row r="5" spans="1:4" x14ac:dyDescent="0.35">
      <c r="A5" s="24">
        <v>3</v>
      </c>
      <c r="B5" s="25" t="s">
        <v>1385</v>
      </c>
      <c r="C5" s="24" t="s">
        <v>1386</v>
      </c>
      <c r="D5" s="94" t="s">
        <v>28</v>
      </c>
    </row>
    <row r="6" spans="1:4" x14ac:dyDescent="0.35">
      <c r="A6" s="24">
        <v>4</v>
      </c>
      <c r="B6" s="48" t="s">
        <v>1387</v>
      </c>
      <c r="C6" s="24" t="s">
        <v>1388</v>
      </c>
      <c r="D6" s="94" t="s">
        <v>28</v>
      </c>
    </row>
    <row r="7" spans="1:4" x14ac:dyDescent="0.35">
      <c r="A7" s="24">
        <v>5</v>
      </c>
      <c r="B7" s="25" t="s">
        <v>1389</v>
      </c>
      <c r="C7" s="24" t="s">
        <v>1390</v>
      </c>
      <c r="D7" s="94" t="s">
        <v>28</v>
      </c>
    </row>
    <row r="8" spans="1:4" x14ac:dyDescent="0.35">
      <c r="A8" s="24">
        <v>6</v>
      </c>
      <c r="B8" s="25" t="s">
        <v>1391</v>
      </c>
      <c r="C8" s="24" t="s">
        <v>1392</v>
      </c>
      <c r="D8" s="94" t="s">
        <v>28</v>
      </c>
    </row>
    <row r="9" spans="1:4" ht="50.4" x14ac:dyDescent="0.35">
      <c r="A9" s="25"/>
      <c r="B9" s="25" t="s">
        <v>73</v>
      </c>
      <c r="C9" s="25" t="s">
        <v>123</v>
      </c>
      <c r="D9" s="94" t="s">
        <v>28</v>
      </c>
    </row>
  </sheetData>
  <pageMargins left="0.70866141732283472" right="0.11811023622047245" top="0.55118110236220474" bottom="0.55118110236220474"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
  <sheetViews>
    <sheetView view="pageBreakPreview" zoomScaleNormal="100" zoomScaleSheetLayoutView="100" workbookViewId="0">
      <selection activeCell="D4" sqref="D4"/>
    </sheetView>
  </sheetViews>
  <sheetFormatPr defaultColWidth="9" defaultRowHeight="17.399999999999999" x14ac:dyDescent="0.35"/>
  <cols>
    <col min="1" max="1" width="6" style="6" customWidth="1"/>
    <col min="2" max="2" width="27.77734375" style="5" customWidth="1"/>
    <col min="3" max="3" width="34.6640625" style="6" customWidth="1"/>
    <col min="4" max="4" width="23.5546875" style="5" bestFit="1" customWidth="1"/>
    <col min="5" max="16384" width="9" style="5"/>
  </cols>
  <sheetData>
    <row r="1" spans="1:4" x14ac:dyDescent="0.35">
      <c r="A1" s="22" t="s">
        <v>21</v>
      </c>
      <c r="B1" s="23" t="s">
        <v>126</v>
      </c>
      <c r="C1" s="28"/>
    </row>
    <row r="2" spans="1:4" x14ac:dyDescent="0.35">
      <c r="A2" s="26" t="s">
        <v>0</v>
      </c>
      <c r="B2" s="26" t="s">
        <v>12</v>
      </c>
      <c r="C2" s="26" t="s">
        <v>2</v>
      </c>
      <c r="D2" s="26" t="s">
        <v>3</v>
      </c>
    </row>
    <row r="3" spans="1:4" ht="33.6" x14ac:dyDescent="0.35">
      <c r="A3" s="24">
        <v>1</v>
      </c>
      <c r="B3" s="25" t="s">
        <v>1</v>
      </c>
      <c r="C3" s="24" t="s">
        <v>7</v>
      </c>
      <c r="D3" s="94" t="s">
        <v>1464</v>
      </c>
    </row>
    <row r="4" spans="1:4" x14ac:dyDescent="0.35">
      <c r="A4" s="24">
        <v>2</v>
      </c>
      <c r="B4" s="25" t="s">
        <v>50</v>
      </c>
      <c r="C4" s="24" t="s">
        <v>7</v>
      </c>
      <c r="D4" s="94" t="s">
        <v>1487</v>
      </c>
    </row>
    <row r="5" spans="1:4" ht="33.6" x14ac:dyDescent="0.35">
      <c r="A5" s="24">
        <v>3</v>
      </c>
      <c r="B5" s="25" t="s">
        <v>127</v>
      </c>
      <c r="C5" s="27" t="s">
        <v>128</v>
      </c>
      <c r="D5" s="94" t="s">
        <v>28</v>
      </c>
    </row>
    <row r="6" spans="1:4" x14ac:dyDescent="0.35">
      <c r="A6" s="24" t="s">
        <v>129</v>
      </c>
      <c r="B6" s="25" t="s">
        <v>78</v>
      </c>
      <c r="C6" s="27" t="s">
        <v>130</v>
      </c>
      <c r="D6" s="94" t="s">
        <v>28</v>
      </c>
    </row>
    <row r="7" spans="1:4" x14ac:dyDescent="0.35">
      <c r="A7" s="24" t="s">
        <v>66</v>
      </c>
      <c r="B7" s="25" t="s">
        <v>131</v>
      </c>
      <c r="C7" s="27" t="s">
        <v>132</v>
      </c>
      <c r="D7" s="94" t="s">
        <v>28</v>
      </c>
    </row>
    <row r="8" spans="1:4" x14ac:dyDescent="0.35">
      <c r="A8" s="24">
        <v>6</v>
      </c>
      <c r="B8" s="25" t="s">
        <v>133</v>
      </c>
      <c r="C8" s="27" t="s">
        <v>134</v>
      </c>
      <c r="D8" s="94" t="s">
        <v>28</v>
      </c>
    </row>
    <row r="9" spans="1:4" ht="67.2" x14ac:dyDescent="0.35">
      <c r="A9" s="129">
        <v>7</v>
      </c>
      <c r="B9" s="128" t="s">
        <v>135</v>
      </c>
      <c r="C9" s="27" t="s">
        <v>136</v>
      </c>
      <c r="D9" s="94" t="s">
        <v>28</v>
      </c>
    </row>
    <row r="10" spans="1:4" ht="100.8" x14ac:dyDescent="0.35">
      <c r="A10" s="129"/>
      <c r="B10" s="128"/>
      <c r="C10" s="19" t="s">
        <v>137</v>
      </c>
      <c r="D10" s="94" t="s">
        <v>28</v>
      </c>
    </row>
  </sheetData>
  <mergeCells count="2">
    <mergeCell ref="A9:A10"/>
    <mergeCell ref="B9:B10"/>
  </mergeCells>
  <pageMargins left="0.70866141732283472" right="0.11811023622047245" top="0.55118110236220474" bottom="0.55118110236220474"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3"/>
  <sheetViews>
    <sheetView view="pageBreakPreview" zoomScaleNormal="100" zoomScaleSheetLayoutView="100" workbookViewId="0">
      <selection activeCell="D4" sqref="D4"/>
    </sheetView>
  </sheetViews>
  <sheetFormatPr defaultColWidth="9" defaultRowHeight="17.399999999999999" x14ac:dyDescent="0.35"/>
  <cols>
    <col min="1" max="1" width="4.88671875" style="6" customWidth="1"/>
    <col min="2" max="2" width="36.21875" style="5" customWidth="1"/>
    <col min="3" max="3" width="26.88671875" style="6" customWidth="1"/>
    <col min="4" max="4" width="17.77734375" style="5" customWidth="1"/>
    <col min="5" max="16384" width="9" style="5"/>
  </cols>
  <sheetData>
    <row r="1" spans="1:4" s="23" customFormat="1" x14ac:dyDescent="0.35">
      <c r="A1" s="22" t="s">
        <v>23</v>
      </c>
      <c r="B1" s="23" t="s">
        <v>138</v>
      </c>
      <c r="C1" s="28"/>
    </row>
    <row r="2" spans="1:4" x14ac:dyDescent="0.35">
      <c r="A2" s="26" t="s">
        <v>48</v>
      </c>
      <c r="B2" s="26" t="s">
        <v>12</v>
      </c>
      <c r="C2" s="26" t="s">
        <v>2</v>
      </c>
      <c r="D2" s="26" t="s">
        <v>3</v>
      </c>
    </row>
    <row r="3" spans="1:4" x14ac:dyDescent="0.35">
      <c r="A3" s="24">
        <v>1</v>
      </c>
      <c r="B3" s="25" t="s">
        <v>1</v>
      </c>
      <c r="C3" s="24" t="s">
        <v>7</v>
      </c>
      <c r="D3" s="24" t="s">
        <v>1575</v>
      </c>
    </row>
    <row r="4" spans="1:4" x14ac:dyDescent="0.35">
      <c r="A4" s="24">
        <v>2</v>
      </c>
      <c r="B4" s="25" t="s">
        <v>50</v>
      </c>
      <c r="C4" s="24" t="s">
        <v>7</v>
      </c>
      <c r="D4" s="24" t="s">
        <v>1486</v>
      </c>
    </row>
    <row r="5" spans="1:4" ht="33.6" x14ac:dyDescent="0.35">
      <c r="A5" s="24"/>
      <c r="B5" s="31" t="s">
        <v>139</v>
      </c>
      <c r="C5" s="24"/>
      <c r="D5" s="24"/>
    </row>
    <row r="6" spans="1:4" x14ac:dyDescent="0.35">
      <c r="A6" s="24">
        <v>3</v>
      </c>
      <c r="B6" s="25" t="s">
        <v>115</v>
      </c>
      <c r="C6" s="24" t="s">
        <v>140</v>
      </c>
      <c r="D6" s="24" t="s">
        <v>28</v>
      </c>
    </row>
    <row r="7" spans="1:4" x14ac:dyDescent="0.35">
      <c r="A7" s="24">
        <v>4</v>
      </c>
      <c r="B7" s="25" t="s">
        <v>75</v>
      </c>
      <c r="C7" s="24" t="s">
        <v>61</v>
      </c>
      <c r="D7" s="24" t="s">
        <v>28</v>
      </c>
    </row>
    <row r="8" spans="1:4" x14ac:dyDescent="0.35">
      <c r="A8" s="24">
        <v>5</v>
      </c>
      <c r="B8" s="25" t="s">
        <v>141</v>
      </c>
      <c r="C8" s="24">
        <v>24</v>
      </c>
      <c r="D8" s="24" t="s">
        <v>28</v>
      </c>
    </row>
    <row r="9" spans="1:4" x14ac:dyDescent="0.35">
      <c r="A9" s="24">
        <v>6</v>
      </c>
      <c r="B9" s="25" t="s">
        <v>142</v>
      </c>
      <c r="C9" s="24" t="s">
        <v>143</v>
      </c>
      <c r="D9" s="24" t="s">
        <v>28</v>
      </c>
    </row>
    <row r="10" spans="1:4" x14ac:dyDescent="0.35">
      <c r="A10" s="24">
        <v>7</v>
      </c>
      <c r="B10" s="25" t="s">
        <v>144</v>
      </c>
      <c r="C10" s="24" t="s">
        <v>173</v>
      </c>
      <c r="D10" s="24" t="s">
        <v>28</v>
      </c>
    </row>
    <row r="11" spans="1:4" ht="33.6" x14ac:dyDescent="0.35">
      <c r="A11" s="24">
        <v>8</v>
      </c>
      <c r="B11" s="25" t="s">
        <v>145</v>
      </c>
      <c r="C11" s="10" t="s">
        <v>174</v>
      </c>
      <c r="D11" s="24" t="s">
        <v>28</v>
      </c>
    </row>
    <row r="12" spans="1:4" x14ac:dyDescent="0.35">
      <c r="A12" s="24">
        <v>9</v>
      </c>
      <c r="B12" s="25" t="s">
        <v>146</v>
      </c>
      <c r="C12" s="24" t="s">
        <v>175</v>
      </c>
      <c r="D12" s="24" t="s">
        <v>28</v>
      </c>
    </row>
    <row r="13" spans="1:4" x14ac:dyDescent="0.35">
      <c r="A13" s="24">
        <v>10</v>
      </c>
      <c r="B13" s="25" t="s">
        <v>147</v>
      </c>
      <c r="C13" s="10" t="s">
        <v>176</v>
      </c>
      <c r="D13" s="24" t="s">
        <v>28</v>
      </c>
    </row>
    <row r="14" spans="1:4" x14ac:dyDescent="0.35">
      <c r="A14" s="24">
        <v>11</v>
      </c>
      <c r="B14" s="25" t="s">
        <v>148</v>
      </c>
      <c r="C14" s="24" t="s">
        <v>177</v>
      </c>
      <c r="D14" s="24" t="s">
        <v>28</v>
      </c>
    </row>
    <row r="15" spans="1:4" ht="33.6" x14ac:dyDescent="0.35">
      <c r="A15" s="24">
        <v>12</v>
      </c>
      <c r="B15" s="25" t="s">
        <v>149</v>
      </c>
      <c r="C15" s="4" t="s">
        <v>178</v>
      </c>
      <c r="D15" s="24" t="s">
        <v>28</v>
      </c>
    </row>
    <row r="16" spans="1:4" ht="33.6" x14ac:dyDescent="0.35">
      <c r="A16" s="24">
        <v>13</v>
      </c>
      <c r="B16" s="25" t="s">
        <v>150</v>
      </c>
      <c r="C16" s="4" t="s">
        <v>179</v>
      </c>
      <c r="D16" s="24" t="s">
        <v>28</v>
      </c>
    </row>
    <row r="17" spans="1:4" ht="33.6" x14ac:dyDescent="0.35">
      <c r="A17" s="24">
        <v>14</v>
      </c>
      <c r="B17" s="25" t="s">
        <v>151</v>
      </c>
      <c r="C17" s="4" t="s">
        <v>180</v>
      </c>
      <c r="D17" s="24" t="s">
        <v>28</v>
      </c>
    </row>
    <row r="18" spans="1:4" ht="33.6" x14ac:dyDescent="0.35">
      <c r="A18" s="24">
        <v>15</v>
      </c>
      <c r="B18" s="25" t="s">
        <v>152</v>
      </c>
      <c r="C18" s="4" t="s">
        <v>181</v>
      </c>
      <c r="D18" s="24" t="s">
        <v>28</v>
      </c>
    </row>
    <row r="19" spans="1:4" ht="20.399999999999999" x14ac:dyDescent="0.35">
      <c r="A19" s="24">
        <v>16</v>
      </c>
      <c r="B19" s="25" t="s">
        <v>153</v>
      </c>
      <c r="C19" s="10" t="s">
        <v>182</v>
      </c>
      <c r="D19" s="24" t="s">
        <v>28</v>
      </c>
    </row>
    <row r="20" spans="1:4" x14ac:dyDescent="0.35">
      <c r="A20" s="24">
        <v>17</v>
      </c>
      <c r="B20" s="25" t="s">
        <v>154</v>
      </c>
      <c r="C20" s="10" t="s">
        <v>183</v>
      </c>
      <c r="D20" s="24" t="s">
        <v>28</v>
      </c>
    </row>
    <row r="21" spans="1:4" x14ac:dyDescent="0.35">
      <c r="A21" s="24">
        <v>18</v>
      </c>
      <c r="B21" s="25" t="s">
        <v>155</v>
      </c>
      <c r="C21" s="24" t="s">
        <v>156</v>
      </c>
      <c r="D21" s="24" t="s">
        <v>28</v>
      </c>
    </row>
    <row r="22" spans="1:4" x14ac:dyDescent="0.35">
      <c r="A22" s="24"/>
      <c r="B22" s="31" t="s">
        <v>157</v>
      </c>
      <c r="C22" s="24"/>
      <c r="D22" s="24"/>
    </row>
    <row r="23" spans="1:4" ht="50.4" x14ac:dyDescent="0.35">
      <c r="A23" s="24">
        <v>19</v>
      </c>
      <c r="B23" s="25" t="s">
        <v>75</v>
      </c>
      <c r="C23" s="24" t="s">
        <v>158</v>
      </c>
      <c r="D23" s="24" t="s">
        <v>28</v>
      </c>
    </row>
    <row r="24" spans="1:4" x14ac:dyDescent="0.35">
      <c r="A24" s="24">
        <v>20</v>
      </c>
      <c r="B24" s="25" t="s">
        <v>159</v>
      </c>
      <c r="C24" s="10" t="s">
        <v>184</v>
      </c>
      <c r="D24" s="24" t="s">
        <v>28</v>
      </c>
    </row>
    <row r="25" spans="1:4" x14ac:dyDescent="0.35">
      <c r="A25" s="24">
        <v>21</v>
      </c>
      <c r="B25" s="25" t="s">
        <v>160</v>
      </c>
      <c r="C25" s="24" t="s">
        <v>7</v>
      </c>
      <c r="D25" s="24" t="s">
        <v>1519</v>
      </c>
    </row>
    <row r="26" spans="1:4" ht="33.6" x14ac:dyDescent="0.35">
      <c r="A26" s="24">
        <v>22</v>
      </c>
      <c r="B26" s="25" t="s">
        <v>161</v>
      </c>
      <c r="C26" s="24" t="s">
        <v>162</v>
      </c>
      <c r="D26" s="24" t="s">
        <v>28</v>
      </c>
    </row>
    <row r="27" spans="1:4" ht="33.6" x14ac:dyDescent="0.35">
      <c r="A27" s="24">
        <v>23</v>
      </c>
      <c r="B27" s="25" t="s">
        <v>163</v>
      </c>
      <c r="C27" s="24" t="s">
        <v>164</v>
      </c>
      <c r="D27" s="24" t="s">
        <v>28</v>
      </c>
    </row>
    <row r="28" spans="1:4" ht="33.6" x14ac:dyDescent="0.35">
      <c r="A28" s="24">
        <v>24</v>
      </c>
      <c r="B28" s="25" t="s">
        <v>165</v>
      </c>
      <c r="C28" s="24" t="s">
        <v>7</v>
      </c>
      <c r="D28" s="24" t="s">
        <v>1518</v>
      </c>
    </row>
    <row r="29" spans="1:4" ht="33.6" x14ac:dyDescent="0.35">
      <c r="A29" s="24">
        <v>25</v>
      </c>
      <c r="B29" s="25" t="s">
        <v>166</v>
      </c>
      <c r="C29" s="24" t="s">
        <v>167</v>
      </c>
      <c r="D29" s="24" t="s">
        <v>28</v>
      </c>
    </row>
    <row r="30" spans="1:4" x14ac:dyDescent="0.35">
      <c r="A30" s="24">
        <v>26</v>
      </c>
      <c r="B30" s="25" t="s">
        <v>168</v>
      </c>
      <c r="C30" s="24" t="s">
        <v>169</v>
      </c>
      <c r="D30" s="24" t="s">
        <v>28</v>
      </c>
    </row>
    <row r="31" spans="1:4" ht="19.2" x14ac:dyDescent="0.35">
      <c r="A31" s="24">
        <v>27</v>
      </c>
      <c r="B31" s="25" t="s">
        <v>49</v>
      </c>
      <c r="C31" s="24" t="s">
        <v>185</v>
      </c>
      <c r="D31" s="24" t="s">
        <v>28</v>
      </c>
    </row>
    <row r="32" spans="1:4" x14ac:dyDescent="0.35">
      <c r="A32" s="24">
        <v>28</v>
      </c>
      <c r="B32" s="25" t="s">
        <v>170</v>
      </c>
      <c r="C32" s="24" t="s">
        <v>186</v>
      </c>
      <c r="D32" s="24" t="s">
        <v>28</v>
      </c>
    </row>
    <row r="33" spans="1:4" x14ac:dyDescent="0.35">
      <c r="A33" s="24">
        <v>29</v>
      </c>
      <c r="B33" s="25" t="s">
        <v>171</v>
      </c>
      <c r="C33" s="24" t="s">
        <v>172</v>
      </c>
      <c r="D33" s="24" t="s">
        <v>28</v>
      </c>
    </row>
  </sheetData>
  <pageMargins left="0.70866141732283472" right="0.11811023622047245" top="0.55118110236220474" bottom="0.55118110236220474"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7"/>
  <sheetViews>
    <sheetView view="pageBreakPreview" topLeftCell="A48" zoomScaleNormal="100" zoomScaleSheetLayoutView="100" workbookViewId="0">
      <selection activeCell="D39" sqref="D39"/>
    </sheetView>
  </sheetViews>
  <sheetFormatPr defaultColWidth="9" defaultRowHeight="17.399999999999999" x14ac:dyDescent="0.35"/>
  <cols>
    <col min="1" max="1" width="4.88671875" style="6" customWidth="1"/>
    <col min="2" max="2" width="36.21875" style="5" customWidth="1"/>
    <col min="3" max="3" width="26.88671875" style="6" customWidth="1"/>
    <col min="4" max="4" width="24" style="5" bestFit="1" customWidth="1"/>
    <col min="5" max="16384" width="9" style="5"/>
  </cols>
  <sheetData>
    <row r="1" spans="1:4" s="23" customFormat="1" x14ac:dyDescent="0.35">
      <c r="A1" s="22" t="s">
        <v>24</v>
      </c>
      <c r="B1" s="23" t="s">
        <v>1394</v>
      </c>
      <c r="C1" s="28"/>
    </row>
    <row r="2" spans="1:4" x14ac:dyDescent="0.35">
      <c r="A2" s="49" t="s">
        <v>48</v>
      </c>
      <c r="B2" s="49" t="s">
        <v>12</v>
      </c>
      <c r="C2" s="49" t="s">
        <v>2</v>
      </c>
      <c r="D2" s="49" t="s">
        <v>3</v>
      </c>
    </row>
    <row r="3" spans="1:4" x14ac:dyDescent="0.35">
      <c r="A3" s="53" t="s">
        <v>10</v>
      </c>
      <c r="B3" s="1" t="s">
        <v>1395</v>
      </c>
      <c r="C3" s="51"/>
      <c r="D3" s="18"/>
    </row>
    <row r="4" spans="1:4" x14ac:dyDescent="0.35">
      <c r="A4" s="53" t="s">
        <v>1396</v>
      </c>
      <c r="B4" s="1" t="s">
        <v>372</v>
      </c>
      <c r="C4" s="51"/>
      <c r="D4" s="18"/>
    </row>
    <row r="5" spans="1:4" x14ac:dyDescent="0.35">
      <c r="A5" s="51"/>
      <c r="B5" s="52" t="s">
        <v>233</v>
      </c>
      <c r="C5" s="51" t="s">
        <v>7</v>
      </c>
      <c r="D5" s="94" t="s">
        <v>1468</v>
      </c>
    </row>
    <row r="6" spans="1:4" x14ac:dyDescent="0.35">
      <c r="A6" s="51"/>
      <c r="B6" s="52" t="s">
        <v>234</v>
      </c>
      <c r="C6" s="51" t="s">
        <v>7</v>
      </c>
      <c r="D6" s="94" t="s">
        <v>1447</v>
      </c>
    </row>
    <row r="7" spans="1:4" x14ac:dyDescent="0.35">
      <c r="A7" s="51"/>
      <c r="B7" s="52" t="s">
        <v>373</v>
      </c>
      <c r="C7" s="51" t="s">
        <v>374</v>
      </c>
      <c r="D7" s="94" t="s">
        <v>28</v>
      </c>
    </row>
    <row r="8" spans="1:4" x14ac:dyDescent="0.35">
      <c r="A8" s="51"/>
      <c r="B8" s="52" t="s">
        <v>375</v>
      </c>
      <c r="C8" s="51"/>
      <c r="D8" s="18"/>
    </row>
    <row r="9" spans="1:4" ht="50.4" x14ac:dyDescent="0.35">
      <c r="A9" s="51"/>
      <c r="B9" s="52" t="s">
        <v>376</v>
      </c>
      <c r="C9" s="51" t="s">
        <v>585</v>
      </c>
      <c r="D9" s="94" t="s">
        <v>28</v>
      </c>
    </row>
    <row r="10" spans="1:4" ht="84" x14ac:dyDescent="0.35">
      <c r="A10" s="51"/>
      <c r="B10" s="52" t="s">
        <v>377</v>
      </c>
      <c r="C10" s="51" t="s">
        <v>586</v>
      </c>
      <c r="D10" s="94" t="s">
        <v>28</v>
      </c>
    </row>
    <row r="11" spans="1:4" x14ac:dyDescent="0.35">
      <c r="A11" s="51"/>
      <c r="B11" s="52" t="s">
        <v>378</v>
      </c>
      <c r="C11" s="51" t="s">
        <v>379</v>
      </c>
      <c r="D11" s="94" t="s">
        <v>28</v>
      </c>
    </row>
    <row r="12" spans="1:4" x14ac:dyDescent="0.35">
      <c r="A12" s="147"/>
      <c r="B12" s="20" t="s">
        <v>380</v>
      </c>
      <c r="C12" s="51" t="s">
        <v>1397</v>
      </c>
      <c r="D12" s="94" t="s">
        <v>1448</v>
      </c>
    </row>
    <row r="13" spans="1:4" ht="33.6" x14ac:dyDescent="0.35">
      <c r="A13" s="147"/>
      <c r="B13" s="149" t="s">
        <v>381</v>
      </c>
      <c r="C13" s="51" t="s">
        <v>1398</v>
      </c>
      <c r="D13" s="94" t="s">
        <v>28</v>
      </c>
    </row>
    <row r="14" spans="1:4" ht="33.6" x14ac:dyDescent="0.35">
      <c r="A14" s="147"/>
      <c r="B14" s="149"/>
      <c r="C14" s="51" t="s">
        <v>588</v>
      </c>
      <c r="D14" s="94" t="s">
        <v>28</v>
      </c>
    </row>
    <row r="15" spans="1:4" ht="33.6" x14ac:dyDescent="0.35">
      <c r="A15" s="51"/>
      <c r="B15" s="52" t="s">
        <v>382</v>
      </c>
      <c r="C15" s="51" t="s">
        <v>1410</v>
      </c>
      <c r="D15" s="94" t="s">
        <v>28</v>
      </c>
    </row>
    <row r="16" spans="1:4" ht="33.6" x14ac:dyDescent="0.35">
      <c r="A16" s="51"/>
      <c r="B16" s="52" t="s">
        <v>383</v>
      </c>
      <c r="C16" s="51" t="s">
        <v>384</v>
      </c>
      <c r="D16" s="94" t="s">
        <v>28</v>
      </c>
    </row>
    <row r="17" spans="1:4" ht="33.6" x14ac:dyDescent="0.35">
      <c r="A17" s="51"/>
      <c r="B17" s="52" t="s">
        <v>385</v>
      </c>
      <c r="C17" s="51" t="s">
        <v>590</v>
      </c>
      <c r="D17" s="94" t="s">
        <v>28</v>
      </c>
    </row>
    <row r="18" spans="1:4" x14ac:dyDescent="0.35">
      <c r="A18" s="51"/>
      <c r="B18" s="52" t="s">
        <v>386</v>
      </c>
      <c r="C18" s="51" t="s">
        <v>387</v>
      </c>
      <c r="D18" s="94" t="s">
        <v>28</v>
      </c>
    </row>
    <row r="19" spans="1:4" ht="100.8" x14ac:dyDescent="0.35">
      <c r="A19" s="51"/>
      <c r="B19" s="52" t="s">
        <v>388</v>
      </c>
      <c r="C19" s="51" t="s">
        <v>591</v>
      </c>
      <c r="D19" s="94" t="s">
        <v>28</v>
      </c>
    </row>
    <row r="20" spans="1:4" x14ac:dyDescent="0.35">
      <c r="A20" s="52"/>
      <c r="B20" s="52" t="s">
        <v>389</v>
      </c>
      <c r="C20" s="51" t="s">
        <v>390</v>
      </c>
      <c r="D20" s="94" t="s">
        <v>28</v>
      </c>
    </row>
    <row r="21" spans="1:4" ht="33.6" x14ac:dyDescent="0.35">
      <c r="A21" s="51"/>
      <c r="B21" s="52" t="s">
        <v>391</v>
      </c>
      <c r="C21" s="51" t="s">
        <v>592</v>
      </c>
      <c r="D21" s="94" t="s">
        <v>28</v>
      </c>
    </row>
    <row r="22" spans="1:4" x14ac:dyDescent="0.35">
      <c r="A22" s="51"/>
      <c r="B22" s="52" t="s">
        <v>392</v>
      </c>
      <c r="C22" s="51" t="s">
        <v>393</v>
      </c>
      <c r="D22" s="94" t="s">
        <v>28</v>
      </c>
    </row>
    <row r="23" spans="1:4" ht="67.2" x14ac:dyDescent="0.35">
      <c r="A23" s="51"/>
      <c r="B23" s="86" t="s">
        <v>1421</v>
      </c>
      <c r="C23" s="51" t="s">
        <v>394</v>
      </c>
      <c r="D23" s="94" t="s">
        <v>28</v>
      </c>
    </row>
    <row r="24" spans="1:4" x14ac:dyDescent="0.35">
      <c r="A24" s="53" t="s">
        <v>1399</v>
      </c>
      <c r="B24" s="1" t="s">
        <v>396</v>
      </c>
      <c r="C24" s="51"/>
      <c r="D24" s="18"/>
    </row>
    <row r="25" spans="1:4" x14ac:dyDescent="0.35">
      <c r="A25" s="51"/>
      <c r="B25" s="52" t="s">
        <v>233</v>
      </c>
      <c r="C25" s="51" t="s">
        <v>7</v>
      </c>
      <c r="D25" s="94" t="s">
        <v>1449</v>
      </c>
    </row>
    <row r="26" spans="1:4" x14ac:dyDescent="0.35">
      <c r="A26" s="51"/>
      <c r="B26" s="52" t="s">
        <v>234</v>
      </c>
      <c r="C26" s="51" t="s">
        <v>7</v>
      </c>
      <c r="D26" s="94" t="s">
        <v>1450</v>
      </c>
    </row>
    <row r="27" spans="1:4" x14ac:dyDescent="0.35">
      <c r="A27" s="52"/>
      <c r="B27" s="52" t="s">
        <v>373</v>
      </c>
      <c r="C27" s="51" t="s">
        <v>396</v>
      </c>
      <c r="D27" s="94" t="s">
        <v>28</v>
      </c>
    </row>
    <row r="28" spans="1:4" x14ac:dyDescent="0.35">
      <c r="A28" s="52"/>
      <c r="B28" s="52" t="s">
        <v>88</v>
      </c>
      <c r="C28" s="51"/>
      <c r="D28" s="94"/>
    </row>
    <row r="29" spans="1:4" x14ac:dyDescent="0.35">
      <c r="A29" s="52"/>
      <c r="B29" s="52" t="s">
        <v>397</v>
      </c>
      <c r="C29" s="2" t="s">
        <v>646</v>
      </c>
      <c r="D29" s="94" t="s">
        <v>28</v>
      </c>
    </row>
    <row r="30" spans="1:4" x14ac:dyDescent="0.35">
      <c r="A30" s="52"/>
      <c r="B30" s="52" t="s">
        <v>398</v>
      </c>
      <c r="C30" s="51" t="s">
        <v>399</v>
      </c>
      <c r="D30" s="94" t="s">
        <v>28</v>
      </c>
    </row>
    <row r="31" spans="1:4" x14ac:dyDescent="0.35">
      <c r="A31" s="52"/>
      <c r="B31" s="20" t="s">
        <v>400</v>
      </c>
      <c r="C31" s="51" t="s">
        <v>401</v>
      </c>
      <c r="D31" s="94" t="s">
        <v>28</v>
      </c>
    </row>
    <row r="32" spans="1:4" x14ac:dyDescent="0.35">
      <c r="A32" s="52"/>
      <c r="B32" s="20" t="s">
        <v>402</v>
      </c>
      <c r="C32" s="2" t="s">
        <v>647</v>
      </c>
      <c r="D32" s="94" t="s">
        <v>28</v>
      </c>
    </row>
    <row r="33" spans="1:4" x14ac:dyDescent="0.35">
      <c r="A33" s="52"/>
      <c r="B33" s="52" t="s">
        <v>403</v>
      </c>
      <c r="C33" s="51" t="s">
        <v>404</v>
      </c>
      <c r="D33" s="94" t="s">
        <v>28</v>
      </c>
    </row>
    <row r="34" spans="1:4" ht="33.6" x14ac:dyDescent="0.35">
      <c r="A34" s="52"/>
      <c r="B34" s="52" t="s">
        <v>405</v>
      </c>
      <c r="C34" s="51" t="s">
        <v>406</v>
      </c>
      <c r="D34" s="94" t="s">
        <v>28</v>
      </c>
    </row>
    <row r="35" spans="1:4" x14ac:dyDescent="0.35">
      <c r="A35" s="52"/>
      <c r="B35" s="20" t="s">
        <v>407</v>
      </c>
      <c r="C35" s="51" t="s">
        <v>408</v>
      </c>
      <c r="D35" s="94" t="s">
        <v>28</v>
      </c>
    </row>
    <row r="36" spans="1:4" x14ac:dyDescent="0.35">
      <c r="A36" s="52"/>
      <c r="B36" s="52" t="s">
        <v>392</v>
      </c>
      <c r="C36" s="51" t="s">
        <v>409</v>
      </c>
      <c r="D36" s="94" t="s">
        <v>28</v>
      </c>
    </row>
    <row r="37" spans="1:4" x14ac:dyDescent="0.35">
      <c r="A37" s="53" t="s">
        <v>227</v>
      </c>
      <c r="B37" s="1" t="s">
        <v>1400</v>
      </c>
      <c r="C37" s="51"/>
      <c r="D37" s="18"/>
    </row>
    <row r="38" spans="1:4" x14ac:dyDescent="0.35">
      <c r="A38" s="51"/>
      <c r="B38" s="52" t="s">
        <v>233</v>
      </c>
      <c r="C38" s="51" t="s">
        <v>1401</v>
      </c>
      <c r="D38" s="94" t="s">
        <v>1468</v>
      </c>
    </row>
    <row r="39" spans="1:4" x14ac:dyDescent="0.35">
      <c r="A39" s="51"/>
      <c r="B39" s="52" t="s">
        <v>234</v>
      </c>
      <c r="C39" s="51" t="s">
        <v>1401</v>
      </c>
      <c r="D39" s="94" t="s">
        <v>1451</v>
      </c>
    </row>
    <row r="40" spans="1:4" x14ac:dyDescent="0.35">
      <c r="A40" s="51"/>
      <c r="B40" s="52" t="s">
        <v>373</v>
      </c>
      <c r="C40" s="51" t="s">
        <v>1402</v>
      </c>
      <c r="D40" s="94" t="s">
        <v>28</v>
      </c>
    </row>
    <row r="41" spans="1:4" x14ac:dyDescent="0.35">
      <c r="A41" s="51"/>
      <c r="B41" s="52" t="s">
        <v>375</v>
      </c>
      <c r="C41" s="51"/>
      <c r="D41" s="18"/>
    </row>
    <row r="42" spans="1:4" ht="50.4" x14ac:dyDescent="0.35">
      <c r="A42" s="51"/>
      <c r="B42" s="52" t="s">
        <v>1403</v>
      </c>
      <c r="C42" s="51" t="s">
        <v>585</v>
      </c>
      <c r="D42" s="94" t="s">
        <v>28</v>
      </c>
    </row>
    <row r="43" spans="1:4" ht="84" x14ac:dyDescent="0.35">
      <c r="A43" s="51"/>
      <c r="B43" s="52" t="s">
        <v>1404</v>
      </c>
      <c r="C43" s="51" t="s">
        <v>1405</v>
      </c>
      <c r="D43" s="94" t="s">
        <v>28</v>
      </c>
    </row>
    <row r="44" spans="1:4" x14ac:dyDescent="0.35">
      <c r="A44" s="51"/>
      <c r="B44" s="52" t="s">
        <v>1406</v>
      </c>
      <c r="C44" s="51">
        <v>1</v>
      </c>
      <c r="D44" s="94" t="s">
        <v>28</v>
      </c>
    </row>
    <row r="45" spans="1:4" ht="50.4" x14ac:dyDescent="0.35">
      <c r="A45" s="51"/>
      <c r="B45" s="52" t="s">
        <v>1407</v>
      </c>
      <c r="C45" s="51" t="s">
        <v>587</v>
      </c>
      <c r="D45" s="94" t="s">
        <v>1448</v>
      </c>
    </row>
    <row r="46" spans="1:4" ht="33.6" x14ac:dyDescent="0.35">
      <c r="A46" s="51"/>
      <c r="B46" s="20" t="s">
        <v>1408</v>
      </c>
      <c r="C46" s="51" t="s">
        <v>588</v>
      </c>
      <c r="D46" s="94" t="s">
        <v>28</v>
      </c>
    </row>
    <row r="47" spans="1:4" ht="33.6" x14ac:dyDescent="0.35">
      <c r="A47" s="51"/>
      <c r="B47" s="52" t="s">
        <v>1409</v>
      </c>
      <c r="C47" s="51" t="s">
        <v>1410</v>
      </c>
      <c r="D47" s="94" t="s">
        <v>28</v>
      </c>
    </row>
    <row r="48" spans="1:4" ht="33.6" x14ac:dyDescent="0.35">
      <c r="A48" s="51"/>
      <c r="B48" s="52" t="s">
        <v>418</v>
      </c>
      <c r="C48" s="51" t="s">
        <v>1411</v>
      </c>
      <c r="D48" s="94" t="s">
        <v>28</v>
      </c>
    </row>
    <row r="49" spans="1:4" x14ac:dyDescent="0.35">
      <c r="A49" s="147"/>
      <c r="B49" s="148" t="s">
        <v>1412</v>
      </c>
      <c r="C49" s="147" t="s">
        <v>590</v>
      </c>
      <c r="D49" s="94" t="s">
        <v>28</v>
      </c>
    </row>
    <row r="50" spans="1:4" x14ac:dyDescent="0.35">
      <c r="A50" s="147"/>
      <c r="B50" s="148"/>
      <c r="C50" s="147"/>
      <c r="D50" s="94" t="s">
        <v>28</v>
      </c>
    </row>
    <row r="51" spans="1:4" x14ac:dyDescent="0.35">
      <c r="A51" s="51"/>
      <c r="B51" s="52" t="s">
        <v>1413</v>
      </c>
      <c r="C51" s="51" t="s">
        <v>387</v>
      </c>
      <c r="D51" s="94" t="s">
        <v>28</v>
      </c>
    </row>
    <row r="52" spans="1:4" ht="100.8" x14ac:dyDescent="0.35">
      <c r="A52" s="51"/>
      <c r="B52" s="52" t="s">
        <v>1414</v>
      </c>
      <c r="C52" s="51" t="s">
        <v>1415</v>
      </c>
      <c r="D52" s="94" t="s">
        <v>28</v>
      </c>
    </row>
    <row r="53" spans="1:4" x14ac:dyDescent="0.35">
      <c r="A53" s="52"/>
      <c r="B53" s="52" t="s">
        <v>1416</v>
      </c>
      <c r="C53" s="51" t="s">
        <v>390</v>
      </c>
      <c r="D53" s="94" t="s">
        <v>28</v>
      </c>
    </row>
    <row r="54" spans="1:4" ht="33.6" x14ac:dyDescent="0.35">
      <c r="A54" s="51"/>
      <c r="B54" s="52" t="s">
        <v>1417</v>
      </c>
      <c r="C54" s="51" t="s">
        <v>592</v>
      </c>
      <c r="D54" s="94" t="s">
        <v>28</v>
      </c>
    </row>
    <row r="55" spans="1:4" x14ac:dyDescent="0.35">
      <c r="A55" s="147"/>
      <c r="B55" s="148" t="s">
        <v>65</v>
      </c>
      <c r="C55" s="52" t="s">
        <v>1418</v>
      </c>
      <c r="D55" s="94" t="s">
        <v>28</v>
      </c>
    </row>
    <row r="56" spans="1:4" x14ac:dyDescent="0.35">
      <c r="A56" s="147"/>
      <c r="B56" s="148"/>
      <c r="C56" s="51" t="s">
        <v>1419</v>
      </c>
      <c r="D56" s="94" t="s">
        <v>28</v>
      </c>
    </row>
    <row r="57" spans="1:4" ht="33.6" x14ac:dyDescent="0.35">
      <c r="A57" s="51"/>
      <c r="B57" s="52" t="s">
        <v>1420</v>
      </c>
      <c r="C57" s="51" t="s">
        <v>394</v>
      </c>
      <c r="D57" s="94" t="s">
        <v>28</v>
      </c>
    </row>
  </sheetData>
  <mergeCells count="7">
    <mergeCell ref="C49:C50"/>
    <mergeCell ref="A55:A56"/>
    <mergeCell ref="B55:B56"/>
    <mergeCell ref="A12:A14"/>
    <mergeCell ref="B13:B14"/>
    <mergeCell ref="A49:A50"/>
    <mergeCell ref="B49:B50"/>
  </mergeCells>
  <pageMargins left="0.70866141732283472" right="0.11811023622047245" top="0.55118110236220474" bottom="0.55118110236220474"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0"/>
  <sheetViews>
    <sheetView view="pageBreakPreview" zoomScaleNormal="100" zoomScaleSheetLayoutView="100" workbookViewId="0">
      <selection activeCell="D7" sqref="D7"/>
    </sheetView>
  </sheetViews>
  <sheetFormatPr defaultColWidth="9" defaultRowHeight="17.399999999999999" x14ac:dyDescent="0.35"/>
  <cols>
    <col min="1" max="1" width="4.88671875" style="6" customWidth="1"/>
    <col min="2" max="2" width="36.21875" style="5" customWidth="1"/>
    <col min="3" max="3" width="26.88671875" style="6" customWidth="1"/>
    <col min="4" max="4" width="22.77734375" style="5" bestFit="1" customWidth="1"/>
    <col min="5" max="16384" width="9" style="5"/>
  </cols>
  <sheetData>
    <row r="1" spans="1:4" s="23" customFormat="1" x14ac:dyDescent="0.35">
      <c r="A1" s="22" t="s">
        <v>25</v>
      </c>
      <c r="B1" s="23" t="s">
        <v>1422</v>
      </c>
      <c r="C1" s="28"/>
    </row>
    <row r="2" spans="1:4" x14ac:dyDescent="0.35">
      <c r="A2" s="49" t="s">
        <v>48</v>
      </c>
      <c r="B2" s="49" t="s">
        <v>12</v>
      </c>
      <c r="C2" s="49" t="s">
        <v>2</v>
      </c>
      <c r="D2" s="49" t="s">
        <v>3</v>
      </c>
    </row>
    <row r="3" spans="1:4" x14ac:dyDescent="0.35">
      <c r="A3" s="53" t="s">
        <v>10</v>
      </c>
      <c r="B3" s="1" t="s">
        <v>1395</v>
      </c>
      <c r="C3" s="51"/>
      <c r="D3" s="18"/>
    </row>
    <row r="4" spans="1:4" x14ac:dyDescent="0.35">
      <c r="A4" s="87">
        <v>1</v>
      </c>
      <c r="B4" s="88" t="s">
        <v>1</v>
      </c>
      <c r="C4" s="89" t="s">
        <v>7</v>
      </c>
      <c r="D4" s="95" t="s">
        <v>1457</v>
      </c>
    </row>
    <row r="5" spans="1:4" x14ac:dyDescent="0.35">
      <c r="A5" s="87">
        <v>2</v>
      </c>
      <c r="B5" s="88" t="s">
        <v>50</v>
      </c>
      <c r="C5" s="89" t="s">
        <v>7</v>
      </c>
      <c r="D5" s="95" t="s">
        <v>1458</v>
      </c>
    </row>
    <row r="6" spans="1:4" x14ac:dyDescent="0.35">
      <c r="A6" s="87">
        <v>3</v>
      </c>
      <c r="B6" s="88" t="s">
        <v>113</v>
      </c>
      <c r="C6" s="89" t="s">
        <v>114</v>
      </c>
      <c r="D6" s="95" t="s">
        <v>28</v>
      </c>
    </row>
    <row r="7" spans="1:4" ht="100.8" x14ac:dyDescent="0.35">
      <c r="A7" s="150">
        <v>4</v>
      </c>
      <c r="B7" s="152" t="s">
        <v>1423</v>
      </c>
      <c r="C7" s="90" t="s">
        <v>1427</v>
      </c>
      <c r="D7" s="95" t="s">
        <v>28</v>
      </c>
    </row>
    <row r="8" spans="1:4" ht="151.19999999999999" x14ac:dyDescent="0.35">
      <c r="A8" s="150"/>
      <c r="B8" s="152"/>
      <c r="C8" s="90" t="s">
        <v>1428</v>
      </c>
      <c r="D8" s="95" t="s">
        <v>28</v>
      </c>
    </row>
    <row r="9" spans="1:4" ht="84" x14ac:dyDescent="0.35">
      <c r="A9" s="150">
        <v>5</v>
      </c>
      <c r="B9" s="152" t="s">
        <v>115</v>
      </c>
      <c r="C9" s="90" t="s">
        <v>1429</v>
      </c>
      <c r="D9" s="95" t="s">
        <v>28</v>
      </c>
    </row>
    <row r="10" spans="1:4" ht="50.4" x14ac:dyDescent="0.35">
      <c r="A10" s="150"/>
      <c r="B10" s="152"/>
      <c r="C10" s="90" t="s">
        <v>1430</v>
      </c>
      <c r="D10" s="95" t="s">
        <v>28</v>
      </c>
    </row>
    <row r="11" spans="1:4" ht="134.4" x14ac:dyDescent="0.35">
      <c r="A11" s="150"/>
      <c r="B11" s="152"/>
      <c r="C11" s="88" t="s">
        <v>1431</v>
      </c>
      <c r="D11" s="95" t="s">
        <v>28</v>
      </c>
    </row>
    <row r="12" spans="1:4" ht="84" x14ac:dyDescent="0.35">
      <c r="A12" s="150"/>
      <c r="B12" s="152"/>
      <c r="C12" s="88" t="s">
        <v>1432</v>
      </c>
      <c r="D12" s="95" t="s">
        <v>28</v>
      </c>
    </row>
    <row r="13" spans="1:4" x14ac:dyDescent="0.35">
      <c r="A13" s="87">
        <v>7</v>
      </c>
      <c r="B13" s="88" t="s">
        <v>117</v>
      </c>
      <c r="C13" s="87" t="s">
        <v>39</v>
      </c>
      <c r="D13" s="95" t="s">
        <v>28</v>
      </c>
    </row>
    <row r="14" spans="1:4" x14ac:dyDescent="0.35">
      <c r="A14" s="87">
        <v>8</v>
      </c>
      <c r="B14" s="88" t="s">
        <v>118</v>
      </c>
      <c r="C14" s="87" t="s">
        <v>119</v>
      </c>
      <c r="D14" s="95" t="s">
        <v>28</v>
      </c>
    </row>
    <row r="15" spans="1:4" ht="50.4" x14ac:dyDescent="0.35">
      <c r="A15" s="150">
        <v>9</v>
      </c>
      <c r="B15" s="152" t="s">
        <v>120</v>
      </c>
      <c r="C15" s="88" t="s">
        <v>1433</v>
      </c>
      <c r="D15" s="95" t="s">
        <v>28</v>
      </c>
    </row>
    <row r="16" spans="1:4" ht="33.6" x14ac:dyDescent="0.35">
      <c r="A16" s="150"/>
      <c r="B16" s="152"/>
      <c r="C16" s="88" t="s">
        <v>1434</v>
      </c>
      <c r="D16" s="95" t="s">
        <v>28</v>
      </c>
    </row>
    <row r="17" spans="1:4" ht="33.6" x14ac:dyDescent="0.35">
      <c r="A17" s="87">
        <v>10</v>
      </c>
      <c r="B17" s="88" t="s">
        <v>121</v>
      </c>
      <c r="C17" s="88" t="s">
        <v>122</v>
      </c>
      <c r="D17" s="95" t="s">
        <v>28</v>
      </c>
    </row>
    <row r="18" spans="1:4" ht="50.4" x14ac:dyDescent="0.35">
      <c r="A18" s="87">
        <v>11</v>
      </c>
      <c r="B18" s="88" t="s">
        <v>73</v>
      </c>
      <c r="C18" s="88" t="s">
        <v>1424</v>
      </c>
      <c r="D18" s="95" t="s">
        <v>28</v>
      </c>
    </row>
    <row r="19" spans="1:4" ht="50.4" x14ac:dyDescent="0.35">
      <c r="A19" s="150">
        <v>12</v>
      </c>
      <c r="B19" s="151" t="s">
        <v>248</v>
      </c>
      <c r="C19" s="88" t="s">
        <v>1425</v>
      </c>
      <c r="D19" s="95" t="s">
        <v>28</v>
      </c>
    </row>
    <row r="20" spans="1:4" ht="84" x14ac:dyDescent="0.35">
      <c r="A20" s="150"/>
      <c r="B20" s="151"/>
      <c r="C20" s="88" t="s">
        <v>1426</v>
      </c>
      <c r="D20" s="95" t="s">
        <v>28</v>
      </c>
    </row>
  </sheetData>
  <mergeCells count="8">
    <mergeCell ref="A19:A20"/>
    <mergeCell ref="B19:B20"/>
    <mergeCell ref="A7:A8"/>
    <mergeCell ref="B7:B8"/>
    <mergeCell ref="B9:B12"/>
    <mergeCell ref="A15:A16"/>
    <mergeCell ref="B15:B16"/>
    <mergeCell ref="A9:A12"/>
  </mergeCells>
  <pageMargins left="0.70866141732283472" right="0.11811023622047245" top="0.55118110236220474" bottom="0.55118110236220474"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9"/>
  <sheetViews>
    <sheetView view="pageBreakPreview" zoomScale="115" zoomScaleNormal="100" zoomScaleSheetLayoutView="115" workbookViewId="0">
      <selection activeCell="D4" sqref="D4"/>
    </sheetView>
  </sheetViews>
  <sheetFormatPr defaultColWidth="9" defaultRowHeight="17.399999999999999" x14ac:dyDescent="0.35"/>
  <cols>
    <col min="1" max="1" width="4.6640625" style="5" customWidth="1"/>
    <col min="2" max="2" width="28.44140625" style="5" customWidth="1"/>
    <col min="3" max="3" width="32.33203125" style="6" customWidth="1"/>
    <col min="4" max="4" width="18.109375" style="5" bestFit="1" customWidth="1"/>
    <col min="5" max="16384" width="9" style="5"/>
  </cols>
  <sheetData>
    <row r="1" spans="1:4" s="23" customFormat="1" x14ac:dyDescent="0.35">
      <c r="A1" s="22" t="s">
        <v>26</v>
      </c>
      <c r="B1" s="23" t="s">
        <v>187</v>
      </c>
      <c r="C1" s="28"/>
    </row>
    <row r="2" spans="1:4" x14ac:dyDescent="0.35">
      <c r="A2" s="26" t="s">
        <v>48</v>
      </c>
      <c r="B2" s="26" t="s">
        <v>12</v>
      </c>
      <c r="C2" s="26" t="s">
        <v>2</v>
      </c>
      <c r="D2" s="26" t="s">
        <v>3</v>
      </c>
    </row>
    <row r="3" spans="1:4" ht="33.6" x14ac:dyDescent="0.35">
      <c r="A3" s="24">
        <v>1</v>
      </c>
      <c r="B3" s="25" t="s">
        <v>1</v>
      </c>
      <c r="C3" s="24" t="s">
        <v>7</v>
      </c>
      <c r="D3" s="24" t="s">
        <v>1464</v>
      </c>
    </row>
    <row r="4" spans="1:4" x14ac:dyDescent="0.35">
      <c r="A4" s="24">
        <v>2</v>
      </c>
      <c r="B4" s="25" t="s">
        <v>50</v>
      </c>
      <c r="C4" s="24" t="s">
        <v>7</v>
      </c>
      <c r="D4" s="24" t="s">
        <v>1485</v>
      </c>
    </row>
    <row r="5" spans="1:4" x14ac:dyDescent="0.35">
      <c r="A5" s="24">
        <v>3</v>
      </c>
      <c r="B5" s="25" t="s">
        <v>188</v>
      </c>
      <c r="C5" s="24" t="s">
        <v>189</v>
      </c>
      <c r="D5" s="24" t="s">
        <v>28</v>
      </c>
    </row>
    <row r="6" spans="1:4" x14ac:dyDescent="0.35">
      <c r="A6" s="24">
        <v>4</v>
      </c>
      <c r="B6" s="25" t="s">
        <v>190</v>
      </c>
      <c r="C6" s="24" t="s">
        <v>61</v>
      </c>
      <c r="D6" s="24" t="s">
        <v>28</v>
      </c>
    </row>
    <row r="7" spans="1:4" x14ac:dyDescent="0.35">
      <c r="A7" s="24">
        <v>5</v>
      </c>
      <c r="B7" s="25" t="s">
        <v>191</v>
      </c>
      <c r="C7" s="24" t="s">
        <v>192</v>
      </c>
      <c r="D7" s="24" t="s">
        <v>28</v>
      </c>
    </row>
    <row r="8" spans="1:4" ht="33.6" x14ac:dyDescent="0.35">
      <c r="A8" s="129">
        <v>6</v>
      </c>
      <c r="B8" s="127" t="s">
        <v>193</v>
      </c>
      <c r="C8" s="24" t="s">
        <v>194</v>
      </c>
      <c r="D8" s="24" t="s">
        <v>28</v>
      </c>
    </row>
    <row r="9" spans="1:4" x14ac:dyDescent="0.35">
      <c r="A9" s="129"/>
      <c r="B9" s="127"/>
      <c r="C9" s="24" t="s">
        <v>1435</v>
      </c>
      <c r="D9" s="24" t="s">
        <v>28</v>
      </c>
    </row>
  </sheetData>
  <mergeCells count="2">
    <mergeCell ref="A8:A9"/>
    <mergeCell ref="B8:B9"/>
  </mergeCells>
  <pageMargins left="0.70866141732283472" right="0.11811023622047245" top="0.55118110236220474" bottom="0.55118110236220474"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9"/>
  <sheetViews>
    <sheetView view="pageBreakPreview" zoomScaleNormal="100" zoomScaleSheetLayoutView="100" workbookViewId="0">
      <selection activeCell="D4" sqref="D4"/>
    </sheetView>
  </sheetViews>
  <sheetFormatPr defaultColWidth="9" defaultRowHeight="17.399999999999999" x14ac:dyDescent="0.35"/>
  <cols>
    <col min="1" max="1" width="4.77734375" style="21" customWidth="1"/>
    <col min="2" max="2" width="28.109375" style="21" customWidth="1"/>
    <col min="3" max="3" width="35.88671875" style="29" customWidth="1"/>
    <col min="4" max="4" width="17.109375" style="21" customWidth="1"/>
    <col min="5" max="16384" width="9" style="21"/>
  </cols>
  <sheetData>
    <row r="1" spans="1:4" s="23" customFormat="1" x14ac:dyDescent="0.35">
      <c r="A1" s="22" t="s">
        <v>27</v>
      </c>
      <c r="B1" s="23" t="s">
        <v>1436</v>
      </c>
      <c r="C1" s="28"/>
    </row>
    <row r="2" spans="1:4" x14ac:dyDescent="0.35">
      <c r="A2" s="26" t="s">
        <v>48</v>
      </c>
      <c r="B2" s="26" t="s">
        <v>12</v>
      </c>
      <c r="C2" s="26" t="s">
        <v>2</v>
      </c>
      <c r="D2" s="26" t="s">
        <v>3</v>
      </c>
    </row>
    <row r="3" spans="1:4" ht="33.6" x14ac:dyDescent="0.35">
      <c r="A3" s="24">
        <v>1</v>
      </c>
      <c r="B3" s="25" t="s">
        <v>1</v>
      </c>
      <c r="C3" s="24" t="s">
        <v>7</v>
      </c>
      <c r="D3" s="24" t="s">
        <v>1576</v>
      </c>
    </row>
    <row r="4" spans="1:4" x14ac:dyDescent="0.35">
      <c r="A4" s="24">
        <v>2</v>
      </c>
      <c r="B4" s="25" t="s">
        <v>50</v>
      </c>
      <c r="C4" s="24" t="s">
        <v>7</v>
      </c>
      <c r="D4" s="24" t="s">
        <v>1452</v>
      </c>
    </row>
    <row r="5" spans="1:4" ht="67.2" x14ac:dyDescent="0.35">
      <c r="A5" s="24">
        <v>3</v>
      </c>
      <c r="B5" s="25" t="s">
        <v>1437</v>
      </c>
      <c r="C5" s="24" t="s">
        <v>7</v>
      </c>
      <c r="D5" s="24" t="s">
        <v>1453</v>
      </c>
    </row>
    <row r="6" spans="1:4" ht="33.6" x14ac:dyDescent="0.35">
      <c r="A6" s="24">
        <v>4</v>
      </c>
      <c r="B6" s="48" t="s">
        <v>1438</v>
      </c>
      <c r="C6" s="24" t="s">
        <v>7</v>
      </c>
      <c r="D6" s="24" t="s">
        <v>1454</v>
      </c>
    </row>
    <row r="7" spans="1:4" x14ac:dyDescent="0.35">
      <c r="A7" s="24">
        <v>5</v>
      </c>
      <c r="B7" s="25" t="s">
        <v>1439</v>
      </c>
      <c r="C7" s="24" t="s">
        <v>7</v>
      </c>
      <c r="D7" s="24" t="s">
        <v>1455</v>
      </c>
    </row>
    <row r="8" spans="1:4" x14ac:dyDescent="0.35">
      <c r="A8" s="24">
        <v>6</v>
      </c>
      <c r="B8" s="25" t="s">
        <v>1440</v>
      </c>
      <c r="C8" s="24" t="s">
        <v>7</v>
      </c>
      <c r="D8" s="24" t="s">
        <v>1456</v>
      </c>
    </row>
    <row r="9" spans="1:4" x14ac:dyDescent="0.35">
      <c r="A9" s="25"/>
      <c r="B9" s="25" t="s">
        <v>73</v>
      </c>
      <c r="C9" s="33" t="s">
        <v>1441</v>
      </c>
      <c r="D9" s="24" t="s">
        <v>28</v>
      </c>
    </row>
  </sheetData>
  <pageMargins left="0.70866141732283472" right="0.11811023622047245" top="0.55118110236220474" bottom="0.55118110236220474"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90</vt:i4>
      </vt:variant>
    </vt:vector>
  </HeadingPairs>
  <TitlesOfParts>
    <vt:vector size="105" baseType="lpstr">
      <vt:lpstr>Mục Lục</vt:lpstr>
      <vt:lpstr>1.HT TTLL</vt:lpstr>
      <vt:lpstr>2.HT SCADA</vt:lpstr>
      <vt:lpstr>3.Camera</vt:lpstr>
      <vt:lpstr>4.HT PCCC</vt:lpstr>
      <vt:lpstr>5.RS232RS485</vt:lpstr>
      <vt:lpstr>6.Connector RS232</vt:lpstr>
      <vt:lpstr>7.CAT6</vt:lpstr>
      <vt:lpstr>8.Module SFP</vt:lpstr>
      <vt:lpstr>9.ODF</vt:lpstr>
      <vt:lpstr>10.Cáp NMOC</vt:lpstr>
      <vt:lpstr>11.HT Đk máy tính</vt:lpstr>
      <vt:lpstr>12.Ethernet Switch </vt:lpstr>
      <vt:lpstr>13.Dây nhảy quang</vt:lpstr>
      <vt:lpstr>14.Module ghép stack</vt:lpstr>
      <vt:lpstr>'4.HT PCCC'!_Hlk187915364</vt:lpstr>
      <vt:lpstr>'4.HT PCCC'!_Toc177393993</vt:lpstr>
      <vt:lpstr>'4.HT PCCC'!_Toc177393994</vt:lpstr>
      <vt:lpstr>'4.HT PCCC'!_Toc469402498</vt:lpstr>
      <vt:lpstr>'4.HT PCCC'!_Toc469402515</vt:lpstr>
      <vt:lpstr>'4.HT PCCC'!_Toc469402516</vt:lpstr>
      <vt:lpstr>'4.HT PCCC'!_Toc469402542</vt:lpstr>
      <vt:lpstr>'4.HT PCCC'!_Toc469402543</vt:lpstr>
      <vt:lpstr>'4.HT PCCC'!_Toc469402544</vt:lpstr>
      <vt:lpstr>'4.HT PCCC'!_Toc469402545</vt:lpstr>
      <vt:lpstr>'4.HT PCCC'!_Toc469402546</vt:lpstr>
      <vt:lpstr>'4.HT PCCC'!_Toc469402547</vt:lpstr>
      <vt:lpstr>'4.HT PCCC'!_Toc469402548</vt:lpstr>
      <vt:lpstr>'4.HT PCCC'!_Toc469402549</vt:lpstr>
      <vt:lpstr>'4.HT PCCC'!_Toc469402550</vt:lpstr>
      <vt:lpstr>'4.HT PCCC'!_Toc469402551</vt:lpstr>
      <vt:lpstr>'4.HT PCCC'!_Toc469402552</vt:lpstr>
      <vt:lpstr>'4.HT PCCC'!_Toc469402553</vt:lpstr>
      <vt:lpstr>'4.HT PCCC'!_Toc469402554</vt:lpstr>
      <vt:lpstr>'4.HT PCCC'!_Toc469402555</vt:lpstr>
      <vt:lpstr>'4.HT PCCC'!_Toc469402556</vt:lpstr>
      <vt:lpstr>'4.HT PCCC'!_Toc469402557</vt:lpstr>
      <vt:lpstr>'4.HT PCCC'!_Toc469402558</vt:lpstr>
      <vt:lpstr>'4.HT PCCC'!_Toc469402559</vt:lpstr>
      <vt:lpstr>'4.HT PCCC'!_Toc469402560</vt:lpstr>
      <vt:lpstr>'4.HT PCCC'!_Toc469402561</vt:lpstr>
      <vt:lpstr>'4.HT PCCC'!_Toc485909131</vt:lpstr>
      <vt:lpstr>'4.HT PCCC'!_Toc485909132</vt:lpstr>
      <vt:lpstr>'4.HT PCCC'!_Toc485909133</vt:lpstr>
      <vt:lpstr>'4.HT PCCC'!_Toc485909134</vt:lpstr>
      <vt:lpstr>'4.HT PCCC'!_Toc485909135</vt:lpstr>
      <vt:lpstr>'4.HT PCCC'!_Toc485909136</vt:lpstr>
      <vt:lpstr>'4.HT PCCC'!_Toc485909137</vt:lpstr>
      <vt:lpstr>'4.HT PCCC'!_Toc485909138</vt:lpstr>
      <vt:lpstr>'4.HT PCCC'!_Toc485909139</vt:lpstr>
      <vt:lpstr>'4.HT PCCC'!_Toc485909140</vt:lpstr>
      <vt:lpstr>'4.HT PCCC'!_Toc485909141</vt:lpstr>
      <vt:lpstr>'4.HT PCCC'!_Toc485909142</vt:lpstr>
      <vt:lpstr>'4.HT PCCC'!_Toc485909143</vt:lpstr>
      <vt:lpstr>'4.HT PCCC'!_Toc485909144</vt:lpstr>
      <vt:lpstr>'4.HT PCCC'!_Toc485909145</vt:lpstr>
      <vt:lpstr>'4.HT PCCC'!_Toc485909146</vt:lpstr>
      <vt:lpstr>'4.HT PCCC'!_Toc485909147</vt:lpstr>
      <vt:lpstr>'4.HT PCCC'!_Toc485909148</vt:lpstr>
      <vt:lpstr>'4.HT PCCC'!_Toc485909149</vt:lpstr>
      <vt:lpstr>'4.HT PCCC'!_Toc485909150</vt:lpstr>
      <vt:lpstr>'4.HT PCCC'!_Toc485909151</vt:lpstr>
      <vt:lpstr>'4.HT PCCC'!_Toc485909152</vt:lpstr>
      <vt:lpstr>'4.HT PCCC'!_Toc485909153</vt:lpstr>
      <vt:lpstr>'4.HT PCCC'!_Toc485909154</vt:lpstr>
      <vt:lpstr>'4.HT PCCC'!_Toc485909155</vt:lpstr>
      <vt:lpstr>'4.HT PCCC'!_Toc485909156</vt:lpstr>
      <vt:lpstr>'4.HT PCCC'!_Toc485909157</vt:lpstr>
      <vt:lpstr>'4.HT PCCC'!_Toc485909158</vt:lpstr>
      <vt:lpstr>'4.HT PCCC'!_Toc485909159</vt:lpstr>
      <vt:lpstr>'4.HT PCCC'!_Toc485909160</vt:lpstr>
      <vt:lpstr>'4.HT PCCC'!_Toc485909161</vt:lpstr>
      <vt:lpstr>'4.HT PCCC'!_Toc485909162</vt:lpstr>
      <vt:lpstr>'4.HT PCCC'!_Toc485909163</vt:lpstr>
      <vt:lpstr>'4.HT PCCC'!_Toc485909164</vt:lpstr>
      <vt:lpstr>'4.HT PCCC'!_Toc485909165</vt:lpstr>
      <vt:lpstr>'4.HT PCCC'!_Toc485909166</vt:lpstr>
      <vt:lpstr>'4.HT PCCC'!_Toc485909167</vt:lpstr>
      <vt:lpstr>'4.HT PCCC'!_Toc485909168</vt:lpstr>
      <vt:lpstr>'4.HT PCCC'!_Toc485909169</vt:lpstr>
      <vt:lpstr>'4.HT PCCC'!_Toc485909170</vt:lpstr>
      <vt:lpstr>'4.HT PCCC'!_Toc485909171</vt:lpstr>
      <vt:lpstr>'4.HT PCCC'!_Toc488740409</vt:lpstr>
      <vt:lpstr>'4.HT PCCC'!_Toc54777165</vt:lpstr>
      <vt:lpstr>'4.HT PCCC'!_Toc54777166</vt:lpstr>
      <vt:lpstr>'4.HT PCCC'!_Toc54777167</vt:lpstr>
      <vt:lpstr>'4.HT PCCC'!_Toc54777168</vt:lpstr>
      <vt:lpstr>'4.HT PCCC'!_Toc54777169</vt:lpstr>
      <vt:lpstr>'4.HT PCCC'!_Toc54777170</vt:lpstr>
      <vt:lpstr>'4.HT PCCC'!_Toc54777171</vt:lpstr>
      <vt:lpstr>'4.HT PCCC'!_Toc54777172</vt:lpstr>
      <vt:lpstr>'4.HT PCCC'!_Toc54777173</vt:lpstr>
      <vt:lpstr>'4.HT PCCC'!_Toc54777174</vt:lpstr>
      <vt:lpstr>'4.HT PCCC'!_Toc54777175</vt:lpstr>
      <vt:lpstr>'Mục Lục'!Print_Area</vt:lpstr>
      <vt:lpstr>'1.HT TTLL'!Print_Titles</vt:lpstr>
      <vt:lpstr>'10.Cáp NMOC'!Print_Titles</vt:lpstr>
      <vt:lpstr>'11.HT Đk máy tính'!Print_Titles</vt:lpstr>
      <vt:lpstr>'12.Ethernet Switch '!Print_Titles</vt:lpstr>
      <vt:lpstr>'2.HT SCADA'!Print_Titles</vt:lpstr>
      <vt:lpstr>'3.Camera'!Print_Titles</vt:lpstr>
      <vt:lpstr>'4.HT PCCC'!Print_Titles</vt:lpstr>
      <vt:lpstr>'5.RS232RS485'!Print_Titles</vt:lpstr>
      <vt:lpstr>'6.Connector RS232'!Print_Titles</vt:lpstr>
      <vt:lpstr>'Mục Lục'!Print_Titles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Việt Cường</cp:lastModifiedBy>
  <cp:lastPrinted>2026-05-06T01:47:09Z</cp:lastPrinted>
  <dcterms:created xsi:type="dcterms:W3CDTF">2026-01-30T02:30:01Z</dcterms:created>
  <dcterms:modified xsi:type="dcterms:W3CDTF">2026-05-11T11:40:16Z</dcterms:modified>
</cp:coreProperties>
</file>